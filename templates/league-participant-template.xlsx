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85ebfb846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2c68c2c90d6941dc"/>
    <x:sheet xmlns:r="http://schemas.openxmlformats.org/officeDocument/2006/relationships" name="联赛配置" sheetId="2" r:id="R9cbe14b6e1584ef0"/>
    <x:sheet xmlns:r="http://schemas.openxmlformats.org/officeDocument/2006/relationships" name="学校信息" sheetId="3" r:id="R8a42ea270b2148d8"/>
    <x:sheet xmlns:r="http://schemas.openxmlformats.org/officeDocument/2006/relationships" name="队伍账号映射" sheetId="4" r:id="Rcfaf975f004548b1"/>
    <x:sheet xmlns:r="http://schemas.openxmlformats.org/officeDocument/2006/relationships" name="题目映射" sheetId="5" r:id="R7a0fb11aae614b67"/>
    <x:sheet xmlns:r="http://schemas.openxmlformats.org/officeDocument/2006/relationships" name="校验汇总" sheetId="6" r:id="R6281523851354592"/>
    <x:sheet xmlns:r="http://schemas.openxmlformats.org/officeDocument/2006/relationships" name="选项字典" sheetId="7" r:id="Rac085e8a71c4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"/>
    <x:numFmt numFmtId="202" formatCode="0"/>
  </x:numFmts>
  <x:fonts count="8">
    <x:font>
      <x:sz val="11"/>
      <x:name val="Carlito"/>
    </x:font>
    <x:font>
      <x:b/>
      <x:sz val="16"/>
      <x:color rgb="FFFFFFFF"/>
      <x:name val="Microsoft YaHei"/>
    </x:font>
    <x:font>
      <x:sz val="10"/>
      <x:color rgb="FF0F4C5C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D97706"/>
      <x:name val="Microsoft YaHei"/>
    </x:font>
    <x:font>
      <x:sz val="11"/>
      <x:name val="Microsoft YaHei"/>
    </x:font>
    <x:font>
      <x:b/>
      <x:sz val="12"/>
      <x:color rgb="FFD97706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8F1F2"/>
      </x:patternFill>
    </x:fill>
    <x:fill>
      <x:patternFill patternType="solid">
        <x:fgColor rgb="FF1F2937"/>
      </x:patternFill>
    </x:fill>
    <x:fill>
      <x:patternFill patternType="solid">
        <x:fgColor rgb="FFFFF7E6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</x:fills>
  <x:borders count="18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CBD5E1"/>
      </x:left>
      <x:bottom style="thin">
        <x:color rgb="FFE5E7EB"/>
      </x:bottom>
    </x:border>
    <x:border>
      <x:right style="thin">
        <x:color rgb="FFCBD5E1"/>
      </x:right>
      <x:bottom style="thin">
        <x:color rgb="FFE5E7EB"/>
      </x:bottom>
    </x:border>
    <x:border>
      <x:left style="thin">
        <x:color rgb="FFCBD5E1"/>
      </x:left>
      <x:top style="thin">
        <x:color rgb="FFE5E7EB"/>
      </x:top>
      <x:bottom style="thin">
        <x:color rgb="FFE5E7EB"/>
      </x:bottom>
    </x:border>
    <x:border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top style="thin">
        <x:color rgb="FFE5E7EB"/>
      </x:top>
      <x:bottom style="thin">
        <x:color rgb="FFCBD5E1"/>
      </x:bottom>
    </x:border>
    <x:border>
      <x:right style="thin">
        <x:color rgb="FFCBD5E1"/>
      </x:right>
      <x:top style="thin">
        <x:color rgb="FFE5E7EB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  <x:border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4" fillId="0" borderId="8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5" xfId="0" applyNumberFormat="1" applyFont="1" applyFill="1" applyBorder="1" applyAlignment="1">
      <x:alignment vertical="center"/>
    </x:xf>
    <x:xf numFmtId="200" fontId="4" fillId="0" borderId="15" xfId="0" applyNumberFormat="1" applyFont="1" applyFill="1" applyBorder="1" applyAlignment="1">
      <x:alignment vertical="center"/>
    </x:xf>
    <x:xf numFmtId="201" fontId="4" fillId="0" borderId="15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7" borderId="4" xfId="0" applyNumberFormat="1" applyFont="1" applyFill="1" applyBorder="1" applyAlignment="1">
      <x:alignment vertical="center"/>
    </x:xf>
    <x:xf numFmtId="0" fontId="4" fillId="7" borderId="5" xfId="0" applyNumberFormat="1" applyFont="1" applyFill="1" applyBorder="1" applyAlignment="1">
      <x:alignment vertical="center"/>
    </x:xf>
    <x:xf numFmtId="0" fontId="4" fillId="7" borderId="6" xfId="0" applyNumberFormat="1" applyFont="1" applyFill="1" applyBorder="1" applyAlignment="1">
      <x:alignment vertical="center"/>
    </x:xf>
    <x:xf numFmtId="200" fontId="4" fillId="6" borderId="4" xfId="0" applyNumberFormat="1" applyFont="1" applyFill="1" applyBorder="1" applyAlignment="1">
      <x:alignment vertical="center"/>
    </x:xf>
    <x:xf numFmtId="200" fontId="4" fillId="6" borderId="5" xfId="0" applyNumberFormat="1" applyFont="1" applyFill="1" applyBorder="1" applyAlignment="1">
      <x:alignment vertical="center"/>
    </x:xf>
    <x:xf numFmtId="200" fontId="4" fillId="6" borderId="6" xfId="0" applyNumberFormat="1" applyFont="1" applyFill="1" applyBorder="1" applyAlignment="1">
      <x:alignment vertical="center"/>
    </x:xf>
    <x:xf numFmtId="201" fontId="4" fillId="6" borderId="4" xfId="0" applyNumberFormat="1" applyFont="1" applyFill="1" applyBorder="1" applyAlignment="1">
      <x:alignment vertical="center"/>
    </x:xf>
    <x:xf numFmtId="201" fontId="4" fillId="6" borderId="5" xfId="0" applyNumberFormat="1" applyFont="1" applyFill="1" applyBorder="1" applyAlignment="1">
      <x:alignment vertical="center"/>
    </x:xf>
    <x:xf numFmtId="201" fontId="4" fillId="6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7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7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7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7" fillId="5" borderId="16" xfId="0" applyNumberFormat="1" applyFont="1" applyFill="1" applyBorder="1" applyAlignment="1">
      <x:alignment vertical="center"/>
    </x:xf>
    <x:xf numFmtId="0" fontId="7" fillId="5" borderId="15" xfId="0" applyNumberFormat="1" applyFont="1" applyFill="1" applyBorder="1" applyAlignment="1">
      <x:alignment vertical="center"/>
    </x:xf>
    <x:xf numFmtId="0" fontId="7" fillId="5" borderId="17" xfId="0" applyNumberFormat="1" applyFont="1" applyFill="1" applyBorder="1" applyAlignment="1">
      <x:alignment vertical="center"/>
    </x:xf>
  </x:cellXfs>
  <x:cellStyles count="1">
    <x:cellStyle name="Normal" xfId="0"/>
  </x:cellStyles>
  <x:dxfs count="15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7E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23c21a63147d4" /><Relationship Type="http://schemas.openxmlformats.org/officeDocument/2006/relationships/theme" Target="/xl/theme/theme1.xml" Id="Rd6e094b6c7ea4acb" /><Relationship Type="http://schemas.openxmlformats.org/officeDocument/2006/relationships/sharedStrings" Target="/xl/sharedStrings.xml" Id="R59b3f3a00b594f4f" /><Relationship Type="http://schemas.openxmlformats.org/officeDocument/2006/relationships/worksheet" Target="/xl/worksheets/sheet1.xml" Id="R2c68c2c90d6941dc" /><Relationship Type="http://schemas.openxmlformats.org/officeDocument/2006/relationships/worksheet" Target="/xl/worksheets/sheet2.xml" Id="R9cbe14b6e1584ef0" /><Relationship Type="http://schemas.openxmlformats.org/officeDocument/2006/relationships/worksheet" Target="/xl/worksheets/sheet3.xml" Id="R8a42ea270b2148d8" /><Relationship Type="http://schemas.openxmlformats.org/officeDocument/2006/relationships/worksheet" Target="/xl/worksheets/sheet4.xml" Id="Rcfaf975f004548b1" /><Relationship Type="http://schemas.openxmlformats.org/officeDocument/2006/relationships/worksheet" Target="/xl/worksheets/sheet5.xml" Id="R7a0fb11aae614b67" /><Relationship Type="http://schemas.openxmlformats.org/officeDocument/2006/relationships/worksheet" Target="/xl/worksheets/sheet6.xml" Id="R6281523851354592" /><Relationship Type="http://schemas.openxmlformats.org/officeDocument/2006/relationships/worksheet" Target="/xl/worksheets/sheet7.xml" Id="Rac085e8a71c44f88" /></Relationships>
</file>

<file path=xl/tables/table1.xml><?xml version="1.0" encoding="utf-8"?>
<x:table xmlns:x="http://schemas.openxmlformats.org/spreadsheetml/2006/main" id="1" name="LeagueConfigTable" displayName="LeagueConfigTable" ref="A3:N4" headerRowCount="1" totalsRowCount="0" totalsRowShown="0">
  <x:tableColumns count="14">
    <x:tableColumn id="1" name="联赛ID*"/>
    <x:tableColumn id="2" name="联赛名称*"/>
    <x:tableColumn id="3" name="赛制*"/>
    <x:tableColumn id="4" name="罚时(分钟)*"/>
    <x:tableColumn id="5" name="CE罚时*"/>
    <x:tableColumn id="6" name="开始时间*"/>
    <x:tableColumn id="7" name="比赛时长(分钟)*"/>
    <x:tableColumn id="8" name="封榜时长(分钟)*"/>
    <x:tableColumn id="9" name="时区*"/>
    <x:tableColumn id="10" name="Contest API版本*"/>
    <x:tableColumn id="11" name="榜单刷新(秒)*"/>
    <x:tableColumn id="12" name="断联阈值(秒)*"/>
    <x:tableColumn id="13" name="断联策略*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oolsTable" displayName="SchoolsTable" ref="A3:O53" headerRowCount="1" totalsRowCount="0" totalsRowShown="0">
  <x:tableColumns count="15">
    <x:tableColumn id="1" name="学校ID*"/>
    <x:tableColumn id="2" name="学校全称*"/>
    <x:tableColumn id="3" name="学校简称*"/>
    <x:tableColumn id="4" name="站点ID*"/>
    <x:tableColumn id="5" name="Hydro内网地址*"/>
    <x:tableColumn id="6" name="Hydro域ID*"/>
    <x:tableColumn id="7" name="本地比赛ID*"/>
    <x:tableColumn id="8" name="Hydro版本*"/>
    <x:tableColumn id="9" name="负责人*"/>
    <x:tableColumn id="10" name="联系电话*"/>
    <x:tableColumn id="11" name="联系邮箱"/>
    <x:tableColumn id="12" name="网络联调状态*"/>
    <x:tableColumn id="13" name="最近联调时间"/>
    <x:tableColumn id="14" name="备注"/>
    <x:tableColumn id="15" name="校验结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amMappingTable" displayName="TeamMappingTable" ref="A3:T203" headerRowCount="1" totalsRowCount="0" totalsRowShown="0">
  <x:tableColumns count="20">
    <x:tableColumn id="1" name="全局队伍ID*"/>
    <x:tableColumn id="2" name="学校ID*"/>
    <x:tableColumn id="3" name="队伍名称*"/>
    <x:tableColumn id="4" name="队伍类型*"/>
    <x:tableColumn id="5" name="本地域ID"/>
    <x:tableColumn id="6" name="本地比赛ID"/>
    <x:tableColumn id="7" name="本地Hydro UID*"/>
    <x:tableColumn id="8" name="本地Hydro用户名*"/>
    <x:tableColumn id="9" name="Hydro显示名"/>
    <x:tableColumn id="10" name="成员1姓名*"/>
    <x:tableColumn id="11" name="成员1学号"/>
    <x:tableColumn id="12" name="成员2姓名"/>
    <x:tableColumn id="13" name="成员2学号"/>
    <x:tableColumn id="14" name="成员3姓名"/>
    <x:tableColumn id="15" name="成员3学号"/>
    <x:tableColumn id="16" name="教练姓名"/>
    <x:tableColumn id="17" name="座位号"/>
    <x:tableColumn id="18" name="启用状态*"/>
    <x:tableColumn id="19" name="备注"/>
    <x:tableColumn id="20" name="校验结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blemMappingTable" displayName="ProblemMappingTable" ref="A3:M503" headerRowCount="1" totalsRowCount="0" totalsRowShown="0">
  <x:tableColumns count="13">
    <x:tableColumn id="1" name="全局题目ID*"/>
    <x:tableColumn id="2" name="题号标签*"/>
    <x:tableColumn id="3" name="题目顺序*"/>
    <x:tableColumn id="4" name="题目名称*"/>
    <x:tableColumn id="5" name="学校ID*"/>
    <x:tableColumn id="6" name="本地域ID"/>
    <x:tableColumn id="7" name="本地比赛ID"/>
    <x:tableColumn id="8" name="本地Hydro PID*"/>
    <x:tableColumn id="9" name="题目包SHA256*"/>
    <x:tableColumn id="10" name="Checker SHA256*"/>
    <x:tableColumn id="11" name="时限(ms)*"/>
    <x:tableColumn id="12" name="内存(MB)*"/>
    <x:tableColumn id="13" name="校验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17cffe4b8149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5dcc2b1e5449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2d66ca6ecf4f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32b1738ec147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8" hidden="0" customWidth="1"/>
    <x:col min="4" max="4" width="34" hidden="0" customWidth="1"/>
    <x:col min="5" max="5" width="24" hidden="0" customWidth="1"/>
    <x:col min="6" max="6" width="22" hidden="0" customWidth="1"/>
  </x:cols>
  <x:sheetData>
    <x:row r="1" ht="34" customHeight="1">
      <x:c r="A1" s="4" t="str">
        <x:v>多校 Hydro 联赛参赛信息收集模板</x:v>
      </x:c>
      <x:c r="B1" s="4" t="str">
        <x:v>多校 Hydro 联赛参赛信息收集模板</x:v>
      </x:c>
      <x:c r="C1" s="4" t="str">
        <x:v>多校 Hydro 联赛参赛信息收集模板</x:v>
      </x:c>
      <x:c r="D1" s="4" t="str">
        <x:v>多校 Hydro 联赛参赛信息收集模板</x:v>
      </x:c>
      <x:c r="E1" s="4" t="str">
        <x:v>多校 Hydro 联赛参赛信息收集模板</x:v>
      </x:c>
      <x:c r="F1" s="4" t="str">
        <x:v>多校 Hydro 联赛参赛信息收集模板</x:v>
      </x:c>
    </x:row>
    <x:row r="2" ht="34" customHeight="1">
      <x:c r="A2" s="8" t="str">
        <x:v>用途：建立全局学校、队伍、Hydro 账号与题目映射。请先填写学校信息，再填写队伍与题目映射；所有“*”字段均为必填。</x:v>
      </x:c>
      <x:c r="B2" s="8" t="str">
        <x:v>用途：建立全局学校、队伍、Hydro 账号与题目映射。请先填写学校信息，再填写队伍与题目映射；所有“*”字段均为必填。</x:v>
      </x:c>
      <x:c r="C2" s="8" t="str">
        <x:v>用途：建立全局学校、队伍、Hydro 账号与题目映射。请先填写学校信息，再填写队伍与题目映射；所有“*”字段均为必填。</x:v>
      </x:c>
      <x:c r="D2" s="8" t="str">
        <x:v>用途：建立全局学校、队伍、Hydro 账号与题目映射。请先填写学校信息，再填写队伍与题目映射；所有“*”字段均为必填。</x:v>
      </x:c>
      <x:c r="E2" s="8" t="str">
        <x:v>用途：建立全局学校、队伍、Hydro 账号与题目映射。请先填写学校信息，再填写队伍与题目映射；所有“*”字段均为必填。</x:v>
      </x:c>
      <x:c r="F2" s="8" t="str">
        <x:v>用途：建立全局学校、队伍、Hydro 账号与题目映射。请先填写学校信息，再填写队伍与题目映射；所有“*”字段均为必填。</x:v>
      </x:c>
    </x:row>
    <x:row r="3">
      <x:c r="A3" s="49"/>
      <x:c r="B3" s="49"/>
      <x:c r="C3" s="49"/>
      <x:c r="D3" s="49"/>
      <x:c r="E3" s="49"/>
      <x:c r="F3" s="49"/>
    </x:row>
    <x:row r="4" ht="36" customHeight="1">
      <x:c r="A4" s="20" t="str">
        <x:v>步骤</x:v>
      </x:c>
      <x:c r="B4" s="21" t="str">
        <x:v>填写人</x:v>
      </x:c>
      <x:c r="C4" s="21" t="str">
        <x:v>工作表</x:v>
      </x:c>
      <x:c r="D4" s="21" t="str">
        <x:v>要点</x:v>
      </x:c>
      <x:c r="E4" s="21" t="str">
        <x:v>提交前检查</x:v>
      </x:c>
      <x:c r="F4" s="22" t="str">
        <x:v>数据用途</x:v>
      </x:c>
    </x:row>
    <x:row r="5" ht="22" customHeight="1">
      <x:c r="A5" s="35" t="n">
        <x:v>1</x:v>
      </x:c>
      <x:c r="B5" s="27" t="str">
        <x:v>联赛组委会</x:v>
      </x:c>
      <x:c r="C5" s="27" t="str">
        <x:v>联赛配置</x:v>
      </x:c>
      <x:c r="D5" s="27" t="str">
        <x:v>确认赛制、罚时、时间、断联策略与接口版本</x:v>
      </x:c>
      <x:c r="E5" s="27" t="str">
        <x:v>开始/封榜时间完整</x:v>
      </x:c>
      <x:c r="F5" s="36" t="str">
        <x:v>中心统一计分</x:v>
      </x:c>
    </x:row>
    <x:row r="6" ht="22" customHeight="1">
      <x:c r="A6" s="37" t="n">
        <x:v>2</x:v>
      </x:c>
      <x:c r="B6" s="28" t="str">
        <x:v>各校负责人</x:v>
      </x:c>
      <x:c r="C6" s="28" t="str">
        <x:v>学校信息</x:v>
      </x:c>
      <x:c r="D6" s="28" t="str">
        <x:v>每校一行；学校ID和站点ID必须唯一</x:v>
      </x:c>
      <x:c r="E6" s="28" t="str">
        <x:v>校验结果为“通过”</x:v>
      </x:c>
      <x:c r="F6" s="38" t="str">
        <x:v>站点注册与健康状态</x:v>
      </x:c>
    </x:row>
    <x:row r="7" ht="22" customHeight="1">
      <x:c r="A7" s="37" t="n">
        <x:v>3</x:v>
      </x:c>
      <x:c r="B7" s="28" t="str">
        <x:v>各校负责人</x:v>
      </x:c>
      <x:c r="C7" s="28" t="str">
        <x:v>队伍账号映射</x:v>
      </x:c>
      <x:c r="D7" s="28" t="str">
        <x:v>每队一行；全局队伍ID唯一；Hydro UID必须属于对应学校</x:v>
      </x:c>
      <x:c r="E7" s="28" t="str">
        <x:v>无重复ID或UID</x:v>
      </x:c>
      <x:c r="F7" s="38" t="str">
        <x:v>提交归属与榜单队伍</x:v>
      </x:c>
    </x:row>
    <x:row r="8" ht="22" customHeight="1">
      <x:c r="A8" s="37" t="n">
        <x:v>4</x:v>
      </x:c>
      <x:c r="B8" s="28" t="str">
        <x:v>技术负责人</x:v>
      </x:c>
      <x:c r="C8" s="28" t="str">
        <x:v>题目映射</x:v>
      </x:c>
      <x:c r="D8" s="28" t="str">
        <x:v>每校每题一行；统一题号映射到本地Hydro PID</x:v>
      </x:c>
      <x:c r="E8" s="28" t="str">
        <x:v>哈希和资源限制一致</x:v>
      </x:c>
      <x:c r="F8" s="38" t="str">
        <x:v>跨校题目归一化</x:v>
      </x:c>
    </x:row>
    <x:row r="9" ht="22" customHeight="1">
      <x:c r="A9" s="39" t="n">
        <x:v>5</x:v>
      </x:c>
      <x:c r="B9" s="29" t="str">
        <x:v>联赛组委会</x:v>
      </x:c>
      <x:c r="C9" s="29" t="str">
        <x:v>校验汇总</x:v>
      </x:c>
      <x:c r="D9" s="29" t="str">
        <x:v>查看错误计数并逐行修正</x:v>
      </x:c>
      <x:c r="E9" s="29" t="str">
        <x:v>总体状态为“可提交”</x:v>
      </x:c>
      <x:c r="F9" s="40" t="str">
        <x:v>导入前质量门禁</x:v>
      </x:c>
    </x:row>
    <x:row r="10">
      <x:c r="A10" s="50"/>
      <x:c r="B10" s="49"/>
      <x:c r="C10" s="49"/>
      <x:c r="D10" s="49"/>
      <x:c r="E10" s="49"/>
      <x:c r="F10" s="51"/>
    </x:row>
    <x:row r="11">
      <x:c r="A11" s="44" t="str">
        <x:v>规则</x:v>
      </x:c>
      <x:c r="B11" s="31" t="str">
        <x:v>说明</x:v>
      </x:c>
      <x:c r="C11" s="31" t="str"/>
      <x:c r="D11" s="31" t="str"/>
      <x:c r="E11" s="31" t="str"/>
      <x:c r="F11" s="45" t="str"/>
    </x:row>
    <x:row r="12" ht="22" customHeight="1">
      <x:c r="A12" s="35" t="str">
        <x:v>ID格式</x:v>
      </x:c>
      <x:c r="B12" s="32" t="str">
        <x:v>建议使用小写英文字母、数字和短横线，例如 school-a、team-001、problem-a。ID确定后不要修改。</x:v>
      </x:c>
      <x:c r="C12" s="32"/>
      <x:c r="D12" s="32"/>
      <x:c r="E12" s="32"/>
      <x:c r="F12" s="46"/>
    </x:row>
    <x:row r="13" ht="22" customHeight="1">
      <x:c r="A13" s="37" t="str">
        <x:v>赛制</x:v>
      </x:c>
      <x:c r="B13" s="33" t="str">
        <x:v>ACM/ICPC；编译错误（CE）不计罚时。</x:v>
      </x:c>
      <x:c r="C13" s="33"/>
      <x:c r="D13" s="33"/>
      <x:c r="E13" s="33"/>
      <x:c r="F13" s="47"/>
    </x:row>
    <x:row r="14" ht="22" customHeight="1">
      <x:c r="A14" s="37" t="str">
        <x:v>时间</x:v>
      </x:c>
      <x:c r="B14" s="33" t="str">
        <x:v>所有学校必须使用同一开始、结束与封榜时间，并在赛前完成校时。</x:v>
      </x:c>
      <x:c r="C14" s="33"/>
      <x:c r="D14" s="33"/>
      <x:c r="E14" s="33"/>
      <x:c r="F14" s="47"/>
    </x:row>
    <x:row r="15" ht="22" customHeight="1">
      <x:c r="A15" s="37" t="str">
        <x:v>断联</x:v>
      </x:c>
      <x:c r="B15" s="33" t="str">
        <x:v>断联学校仍保留在榜单中；继续发布当前名次，同时标注断联学校及榜单可能不准确。</x:v>
      </x:c>
      <x:c r="C15" s="33"/>
      <x:c r="D15" s="33"/>
      <x:c r="E15" s="33"/>
      <x:c r="F15" s="47"/>
    </x:row>
    <x:row r="16" ht="22" customHeight="1">
      <x:c r="A16" s="37" t="str">
        <x:v>隐私</x:v>
      </x:c>
      <x:c r="B16" s="33" t="str">
        <x:v>模板含姓名、电话等信息，仅交给授权的联赛工作人员，不要公开发布。</x:v>
      </x:c>
      <x:c r="C16" s="33"/>
      <x:c r="D16" s="33"/>
      <x:c r="E16" s="33"/>
      <x:c r="F16" s="47"/>
    </x:row>
    <x:row r="17" ht="22" customHeight="1">
      <x:c r="A17" s="39" t="str">
        <x:v>禁止操作</x:v>
      </x:c>
      <x:c r="B17" s="34" t="str">
        <x:v>不要删除列、改列名或覆盖灰色公式列；如需补充信息，请写入备注。</x:v>
      </x:c>
      <x:c r="C17" s="34"/>
      <x:c r="D17" s="34"/>
      <x:c r="E17" s="34"/>
      <x:c r="F17" s="48"/>
    </x:row>
  </x:sheetData>
  <x:mergeCells>
    <x:mergeCell ref="A1:F1"/>
    <x:mergeCell ref="A2:F2"/>
    <x:mergeCell ref="B11:F11"/>
    <x:mergeCell ref="B12:F12"/>
    <x:mergeCell ref="B13:F13"/>
    <x:mergeCell ref="B14:F14"/>
    <x:mergeCell ref="B15:F15"/>
    <x:mergeCell ref="B16:F16"/>
    <x:mergeCell ref="B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20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30" hidden="0" customWidth="1"/>
    <x:col min="14" max="14" width="24" hidden="0" customWidth="1"/>
  </x:cols>
  <x:sheetData>
    <x:row r="1" ht="34" customHeight="1">
      <x:c r="A1" s="4" t="str">
        <x:v>联赛配置</x:v>
      </x:c>
      <x:c r="B1" s="4" t="str">
        <x:v>联赛配置</x:v>
      </x:c>
      <x:c r="C1" s="4" t="str">
        <x:v>联赛配置</x:v>
      </x:c>
      <x:c r="D1" s="4" t="str">
        <x:v>联赛配置</x:v>
      </x:c>
      <x:c r="E1" s="4" t="str">
        <x:v>联赛配置</x:v>
      </x:c>
      <x:c r="F1" s="4" t="str">
        <x:v>联赛配置</x:v>
      </x:c>
      <x:c r="G1" s="4" t="str">
        <x:v>联赛配置</x:v>
      </x:c>
      <x:c r="H1" s="4" t="str">
        <x:v>联赛配置</x:v>
      </x:c>
      <x:c r="I1" s="4" t="str">
        <x:v>联赛配置</x:v>
      </x:c>
      <x:c r="J1" s="4" t="str">
        <x:v>联赛配置</x:v>
      </x:c>
      <x:c r="K1" s="4" t="str">
        <x:v>联赛配置</x:v>
      </x:c>
      <x:c r="L1" s="4" t="str">
        <x:v>联赛配置</x:v>
      </x:c>
      <x:c r="M1" s="4" t="str">
        <x:v>联赛配置</x:v>
      </x:c>
      <x:c r="N1" s="4" t="str">
        <x:v>联赛配置</x:v>
      </x:c>
    </x:row>
    <x:row r="2" ht="34" customHeight="1">
      <x:c r="A2" s="8" t="str">
        <x:v>由联赛组委会统一填写。开始时间采用北京时间；默认罚时为20分钟，CE不罚时，可按正式规程调整。</x:v>
      </x:c>
      <x:c r="B2" s="8" t="str">
        <x:v>由联赛组委会统一填写。开始时间采用北京时间；默认罚时为20分钟，CE不罚时，可按正式规程调整。</x:v>
      </x:c>
      <x:c r="C2" s="8" t="str">
        <x:v>由联赛组委会统一填写。开始时间采用北京时间；默认罚时为20分钟，CE不罚时，可按正式规程调整。</x:v>
      </x:c>
      <x:c r="D2" s="8" t="str">
        <x:v>由联赛组委会统一填写。开始时间采用北京时间；默认罚时为20分钟，CE不罚时，可按正式规程调整。</x:v>
      </x:c>
      <x:c r="E2" s="8" t="str">
        <x:v>由联赛组委会统一填写。开始时间采用北京时间；默认罚时为20分钟，CE不罚时，可按正式规程调整。</x:v>
      </x:c>
      <x:c r="F2" s="8" t="str">
        <x:v>由联赛组委会统一填写。开始时间采用北京时间；默认罚时为20分钟，CE不罚时，可按正式规程调整。</x:v>
      </x:c>
      <x:c r="G2" s="8" t="str">
        <x:v>由联赛组委会统一填写。开始时间采用北京时间；默认罚时为20分钟，CE不罚时，可按正式规程调整。</x:v>
      </x:c>
      <x:c r="H2" s="8" t="str">
        <x:v>由联赛组委会统一填写。开始时间采用北京时间；默认罚时为20分钟，CE不罚时，可按正式规程调整。</x:v>
      </x:c>
      <x:c r="I2" s="8" t="str">
        <x:v>由联赛组委会统一填写。开始时间采用北京时间；默认罚时为20分钟，CE不罚时，可按正式规程调整。</x:v>
      </x:c>
      <x:c r="J2" s="8" t="str">
        <x:v>由联赛组委会统一填写。开始时间采用北京时间；默认罚时为20分钟，CE不罚时，可按正式规程调整。</x:v>
      </x:c>
      <x:c r="K2" s="8" t="str">
        <x:v>由联赛组委会统一填写。开始时间采用北京时间；默认罚时为20分钟，CE不罚时，可按正式规程调整。</x:v>
      </x:c>
      <x:c r="L2" s="8" t="str">
        <x:v>由联赛组委会统一填写。开始时间采用北京时间；默认罚时为20分钟，CE不罚时，可按正式规程调整。</x:v>
      </x:c>
      <x:c r="M2" s="8" t="str">
        <x:v>由联赛组委会统一填写。开始时间采用北京时间；默认罚时为20分钟，CE不罚时，可按正式规程调整。</x:v>
      </x:c>
      <x:c r="N2" s="8" t="str">
        <x:v>由联赛组委会统一填写。开始时间采用北京时间；默认罚时为20分钟，CE不罚时，可按正式规程调整。</x:v>
      </x:c>
    </x:row>
    <x:row r="3" ht="36" customHeight="1">
      <x:c r="A3" s="20" t="str">
        <x:v>联赛ID*</x:v>
      </x:c>
      <x:c r="B3" s="21" t="str">
        <x:v>联赛名称*</x:v>
      </x:c>
      <x:c r="C3" s="21" t="str">
        <x:v>赛制*</x:v>
      </x:c>
      <x:c r="D3" s="21" t="str">
        <x:v>罚时(分钟)*</x:v>
      </x:c>
      <x:c r="E3" s="21" t="str">
        <x:v>CE罚时*</x:v>
      </x:c>
      <x:c r="F3" s="21" t="str">
        <x:v>开始时间*</x:v>
      </x:c>
      <x:c r="G3" s="21" t="str">
        <x:v>比赛时长(分钟)*</x:v>
      </x:c>
      <x:c r="H3" s="21" t="str">
        <x:v>封榜时长(分钟)*</x:v>
      </x:c>
      <x:c r="I3" s="21" t="str">
        <x:v>时区*</x:v>
      </x:c>
      <x:c r="J3" s="21" t="str">
        <x:v>Contest API版本*</x:v>
      </x:c>
      <x:c r="K3" s="21" t="str">
        <x:v>榜单刷新(秒)*</x:v>
      </x:c>
      <x:c r="L3" s="21" t="str">
        <x:v>断联阈值(秒)*</x:v>
      </x:c>
      <x:c r="M3" s="21" t="str">
        <x:v>断联策略*</x:v>
      </x:c>
      <x:c r="N3" s="22" t="str">
        <x:v>备注</x:v>
      </x:c>
    </x:row>
    <x:row r="4" ht="22" customHeight="1">
      <x:c r="A4" s="54" t="str"/>
      <x:c r="B4" s="54" t="str"/>
      <x:c r="C4" s="53" t="str">
        <x:v>ACM/ICPC</x:v>
      </x:c>
      <x:c r="D4" s="53" t="n">
        <x:v>20</x:v>
      </x:c>
      <x:c r="E4" s="53" t="str">
        <x:v>否</x:v>
      </x:c>
      <x:c r="F4" s="55"/>
      <x:c r="G4" s="53"/>
      <x:c r="H4" s="53"/>
      <x:c r="I4" s="53" t="str">
        <x:v>Asia/Shanghai</x:v>
      </x:c>
      <x:c r="J4" s="53" t="str">
        <x:v>2023-06</x:v>
      </x:c>
      <x:c r="K4" s="53" t="n">
        <x:v>10</x:v>
      </x:c>
      <x:c r="L4" s="53" t="n">
        <x:v>60</x:v>
      </x:c>
      <x:c r="M4" s="53" t="str">
        <x:v>继续发布并标注断联学校</x:v>
      </x:c>
      <x:c r="N4" s="53" t="str"/>
    </x:row>
  </x:sheetData>
  <x:mergeCells>
    <x:mergeCell ref="A1:N1"/>
    <x:mergeCell ref="A2:N2"/>
  </x:mergeCells>
  <x:dataValidations count="6">
    <x:dataValidation type="list" sqref="C4">
      <x:formula1>"ACM/ICPC"</x:formula1>
    </x:dataValidation>
    <x:dataValidation type="list" sqref="E4">
      <x:formula1>"否"</x:formula1>
    </x:dataValidation>
    <x:dataValidation type="list" sqref="M4">
      <x:formula1>"继续发布并标注断联学校"</x:formula1>
    </x:dataValidation>
    <x:dataValidation type="whole" operator="between" sqref="D4">
      <x:formula1>0</x:formula1>
      <x:formula2>120</x:formula2>
    </x:dataValidation>
    <x:dataValidation type="whole" operator="between" sqref="G4:H4">
      <x:formula1>1</x:formula1>
      <x:formula2>1440</x:formula2>
    </x:dataValidation>
    <x:dataValidation type="whole" operator="between" sqref="K4:L4">
      <x:formula1>1</x:formula1>
      <x:formula2>3600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317cffe4b8149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20" hidden="0" customWidth="1"/>
    <x:col min="11" max="11" width="20" hidden="0" customWidth="1"/>
    <x:col min="12" max="12" width="18" hidden="0" customWidth="1"/>
    <x:col min="13" max="13" width="18" hidden="0" customWidth="1"/>
    <x:col min="14" max="14" width="28" hidden="0" customWidth="1"/>
    <x:col min="15" max="15" width="18" hidden="0" customWidth="1"/>
  </x:cols>
  <x:sheetData>
    <x:row r="1" ht="34" customHeight="1">
      <x:c r="A1" s="4" t="str">
        <x:v>学校信息</x:v>
      </x:c>
      <x:c r="B1" s="4" t="str">
        <x:v>学校信息</x:v>
      </x:c>
      <x:c r="C1" s="4" t="str">
        <x:v>学校信息</x:v>
      </x:c>
      <x:c r="D1" s="4" t="str">
        <x:v>学校信息</x:v>
      </x:c>
      <x:c r="E1" s="4" t="str">
        <x:v>学校信息</x:v>
      </x:c>
      <x:c r="F1" s="4" t="str">
        <x:v>学校信息</x:v>
      </x:c>
      <x:c r="G1" s="4" t="str">
        <x:v>学校信息</x:v>
      </x:c>
      <x:c r="H1" s="4" t="str">
        <x:v>学校信息</x:v>
      </x:c>
      <x:c r="I1" s="4" t="str">
        <x:v>学校信息</x:v>
      </x:c>
      <x:c r="J1" s="4" t="str">
        <x:v>学校信息</x:v>
      </x:c>
      <x:c r="K1" s="4" t="str">
        <x:v>学校信息</x:v>
      </x:c>
      <x:c r="L1" s="4" t="str">
        <x:v>学校信息</x:v>
      </x:c>
      <x:c r="M1" s="4" t="str">
        <x:v>学校信息</x:v>
      </x:c>
      <x:c r="N1" s="4" t="str">
        <x:v>学校信息</x:v>
      </x:c>
      <x:c r="O1" s="4" t="str">
        <x:v>学校信息</x:v>
      </x:c>
    </x:row>
    <x:row r="2" ht="34" customHeight="1">
      <x:c r="A2" s="8" t="str">
        <x:v>每所学校填写一行。学校ID用于Excel关联；站点ID用于同步协议，两者都必须全局唯一且建议使用小写英文。</x:v>
      </x:c>
      <x:c r="B2" s="8" t="str">
        <x:v>每所学校填写一行。学校ID用于Excel关联；站点ID用于同步协议，两者都必须全局唯一且建议使用小写英文。</x:v>
      </x:c>
      <x:c r="C2" s="8" t="str">
        <x:v>每所学校填写一行。学校ID用于Excel关联；站点ID用于同步协议，两者都必须全局唯一且建议使用小写英文。</x:v>
      </x:c>
      <x:c r="D2" s="8" t="str">
        <x:v>每所学校填写一行。学校ID用于Excel关联；站点ID用于同步协议，两者都必须全局唯一且建议使用小写英文。</x:v>
      </x:c>
      <x:c r="E2" s="8" t="str">
        <x:v>每所学校填写一行。学校ID用于Excel关联；站点ID用于同步协议，两者都必须全局唯一且建议使用小写英文。</x:v>
      </x:c>
      <x:c r="F2" s="8" t="str">
        <x:v>每所学校填写一行。学校ID用于Excel关联；站点ID用于同步协议，两者都必须全局唯一且建议使用小写英文。</x:v>
      </x:c>
      <x:c r="G2" s="8" t="str">
        <x:v>每所学校填写一行。学校ID用于Excel关联；站点ID用于同步协议，两者都必须全局唯一且建议使用小写英文。</x:v>
      </x:c>
      <x:c r="H2" s="8" t="str">
        <x:v>每所学校填写一行。学校ID用于Excel关联；站点ID用于同步协议，两者都必须全局唯一且建议使用小写英文。</x:v>
      </x:c>
      <x:c r="I2" s="8" t="str">
        <x:v>每所学校填写一行。学校ID用于Excel关联；站点ID用于同步协议，两者都必须全局唯一且建议使用小写英文。</x:v>
      </x:c>
      <x:c r="J2" s="8" t="str">
        <x:v>每所学校填写一行。学校ID用于Excel关联；站点ID用于同步协议，两者都必须全局唯一且建议使用小写英文。</x:v>
      </x:c>
      <x:c r="K2" s="8" t="str">
        <x:v>每所学校填写一行。学校ID用于Excel关联；站点ID用于同步协议，两者都必须全局唯一且建议使用小写英文。</x:v>
      </x:c>
      <x:c r="L2" s="8" t="str">
        <x:v>每所学校填写一行。学校ID用于Excel关联；站点ID用于同步协议，两者都必须全局唯一且建议使用小写英文。</x:v>
      </x:c>
      <x:c r="M2" s="8" t="str">
        <x:v>每所学校填写一行。学校ID用于Excel关联；站点ID用于同步协议，两者都必须全局唯一且建议使用小写英文。</x:v>
      </x:c>
      <x:c r="N2" s="8" t="str">
        <x:v>每所学校填写一行。学校ID用于Excel关联；站点ID用于同步协议，两者都必须全局唯一且建议使用小写英文。</x:v>
      </x:c>
      <x:c r="O2" s="8" t="str">
        <x:v>每所学校填写一行。学校ID用于Excel关联；站点ID用于同步协议，两者都必须全局唯一且建议使用小写英文。</x:v>
      </x:c>
    </x:row>
    <x:row r="3" ht="36" customHeight="1">
      <x:c r="A3" s="20" t="str">
        <x:v>学校ID*</x:v>
      </x:c>
      <x:c r="B3" s="21" t="str">
        <x:v>学校全称*</x:v>
      </x:c>
      <x:c r="C3" s="21" t="str">
        <x:v>学校简称*</x:v>
      </x:c>
      <x:c r="D3" s="21" t="str">
        <x:v>站点ID*</x:v>
      </x:c>
      <x:c r="E3" s="21" t="str">
        <x:v>Hydro内网地址*</x:v>
      </x:c>
      <x:c r="F3" s="21" t="str">
        <x:v>Hydro域ID*</x:v>
      </x:c>
      <x:c r="G3" s="21" t="str">
        <x:v>本地比赛ID*</x:v>
      </x:c>
      <x:c r="H3" s="21" t="str">
        <x:v>Hydro版本*</x:v>
      </x:c>
      <x:c r="I3" s="21" t="str">
        <x:v>负责人*</x:v>
      </x:c>
      <x:c r="J3" s="21" t="str">
        <x:v>联系电话*</x:v>
      </x:c>
      <x:c r="K3" s="21" t="str">
        <x:v>联系邮箱</x:v>
      </x:c>
      <x:c r="L3" s="21" t="str">
        <x:v>网络联调状态*</x:v>
      </x:c>
      <x:c r="M3" s="21" t="str">
        <x:v>最近联调时间</x:v>
      </x:c>
      <x:c r="N3" s="21" t="str">
        <x:v>备注</x:v>
      </x:c>
      <x:c r="O3" s="22" t="str">
        <x:v>校验结果</x:v>
      </x:c>
    </x:row>
    <x:row r="4" ht="22" customHeight="1">
      <x:c r="A4" s="62"/>
      <x:c r="B4" s="56"/>
      <x:c r="C4" s="56"/>
      <x:c r="D4" s="62"/>
      <x:c r="E4" s="62"/>
      <x:c r="F4" s="62"/>
      <x:c r="G4" s="62"/>
      <x:c r="H4" s="62"/>
      <x:c r="I4" s="56"/>
      <x:c r="J4" s="62"/>
      <x:c r="K4" s="62"/>
      <x:c r="L4" s="56"/>
      <x:c r="M4" s="65"/>
      <x:c r="N4" s="56"/>
      <x:c r="O4" s="59" t="str">
        <x:f>IF(COUNTA(A4:N4)=0,"",IF(OR(A4="",B4="",C4="",D4="",E4="",F4="",G4="",H4="",I4="",J4="",L4=""),"缺少必填项",IF(COUNTIF($A$4:$A$53,A4)&gt;1,"学校ID重复",IF(COUNTIF($D$4:$D$53,D4)&gt;1,"站点ID重复","通过"))))</x:f>
      </x:c>
    </x:row>
    <x:row r="5" ht="22" customHeight="1">
      <x:c r="A5" s="63"/>
      <x:c r="B5" s="57"/>
      <x:c r="C5" s="57"/>
      <x:c r="D5" s="63"/>
      <x:c r="E5" s="63"/>
      <x:c r="F5" s="63"/>
      <x:c r="G5" s="63"/>
      <x:c r="H5" s="63"/>
      <x:c r="I5" s="57"/>
      <x:c r="J5" s="63"/>
      <x:c r="K5" s="63"/>
      <x:c r="L5" s="57"/>
      <x:c r="M5" s="66"/>
      <x:c r="N5" s="57"/>
      <x:c r="O5" s="60" t="str">
        <x:f>IF(COUNTA(A5:N5)=0,"",IF(OR(A5="",B5="",C5="",D5="",E5="",F5="",G5="",H5="",I5="",J5="",L5=""),"缺少必填项",IF(COUNTIF($A$4:$A$53,A5)&gt;1,"学校ID重复",IF(COUNTIF($D$4:$D$53,D5)&gt;1,"站点ID重复","通过"))))</x:f>
      </x:c>
    </x:row>
    <x:row r="6" ht="22" customHeight="1">
      <x:c r="A6" s="63"/>
      <x:c r="B6" s="57"/>
      <x:c r="C6" s="57"/>
      <x:c r="D6" s="63"/>
      <x:c r="E6" s="63"/>
      <x:c r="F6" s="63"/>
      <x:c r="G6" s="63"/>
      <x:c r="H6" s="63"/>
      <x:c r="I6" s="57"/>
      <x:c r="J6" s="63"/>
      <x:c r="K6" s="63"/>
      <x:c r="L6" s="57"/>
      <x:c r="M6" s="66"/>
      <x:c r="N6" s="57"/>
      <x:c r="O6" s="60" t="str">
        <x:f>IF(COUNTA(A6:N6)=0,"",IF(OR(A6="",B6="",C6="",D6="",E6="",F6="",G6="",H6="",I6="",J6="",L6=""),"缺少必填项",IF(COUNTIF($A$4:$A$53,A6)&gt;1,"学校ID重复",IF(COUNTIF($D$4:$D$53,D6)&gt;1,"站点ID重复","通过"))))</x:f>
      </x:c>
    </x:row>
    <x:row r="7" ht="22" customHeight="1">
      <x:c r="A7" s="63"/>
      <x:c r="B7" s="57"/>
      <x:c r="C7" s="57"/>
      <x:c r="D7" s="63"/>
      <x:c r="E7" s="63"/>
      <x:c r="F7" s="63"/>
      <x:c r="G7" s="63"/>
      <x:c r="H7" s="63"/>
      <x:c r="I7" s="57"/>
      <x:c r="J7" s="63"/>
      <x:c r="K7" s="63"/>
      <x:c r="L7" s="57"/>
      <x:c r="M7" s="66"/>
      <x:c r="N7" s="57"/>
      <x:c r="O7" s="60" t="str">
        <x:f>IF(COUNTA(A7:N7)=0,"",IF(OR(A7="",B7="",C7="",D7="",E7="",F7="",G7="",H7="",I7="",J7="",L7=""),"缺少必填项",IF(COUNTIF($A$4:$A$53,A7)&gt;1,"学校ID重复",IF(COUNTIF($D$4:$D$53,D7)&gt;1,"站点ID重复","通过"))))</x:f>
      </x:c>
    </x:row>
    <x:row r="8" ht="22" customHeight="1">
      <x:c r="A8" s="63"/>
      <x:c r="B8" s="57"/>
      <x:c r="C8" s="57"/>
      <x:c r="D8" s="63"/>
      <x:c r="E8" s="63"/>
      <x:c r="F8" s="63"/>
      <x:c r="G8" s="63"/>
      <x:c r="H8" s="63"/>
      <x:c r="I8" s="57"/>
      <x:c r="J8" s="63"/>
      <x:c r="K8" s="63"/>
      <x:c r="L8" s="57"/>
      <x:c r="M8" s="66"/>
      <x:c r="N8" s="57"/>
      <x:c r="O8" s="60" t="str">
        <x:f>IF(COUNTA(A8:N8)=0,"",IF(OR(A8="",B8="",C8="",D8="",E8="",F8="",G8="",H8="",I8="",J8="",L8=""),"缺少必填项",IF(COUNTIF($A$4:$A$53,A8)&gt;1,"学校ID重复",IF(COUNTIF($D$4:$D$53,D8)&gt;1,"站点ID重复","通过"))))</x:f>
      </x:c>
    </x:row>
    <x:row r="9" ht="22" customHeight="1">
      <x:c r="A9" s="63"/>
      <x:c r="B9" s="57"/>
      <x:c r="C9" s="57"/>
      <x:c r="D9" s="63"/>
      <x:c r="E9" s="63"/>
      <x:c r="F9" s="63"/>
      <x:c r="G9" s="63"/>
      <x:c r="H9" s="63"/>
      <x:c r="I9" s="57"/>
      <x:c r="J9" s="63"/>
      <x:c r="K9" s="63"/>
      <x:c r="L9" s="57"/>
      <x:c r="M9" s="66"/>
      <x:c r="N9" s="57"/>
      <x:c r="O9" s="60" t="str">
        <x:f>IF(COUNTA(A9:N9)=0,"",IF(OR(A9="",B9="",C9="",D9="",E9="",F9="",G9="",H9="",I9="",J9="",L9=""),"缺少必填项",IF(COUNTIF($A$4:$A$53,A9)&gt;1,"学校ID重复",IF(COUNTIF($D$4:$D$53,D9)&gt;1,"站点ID重复","通过"))))</x:f>
      </x:c>
    </x:row>
    <x:row r="10" ht="22" customHeight="1">
      <x:c r="A10" s="63"/>
      <x:c r="B10" s="57"/>
      <x:c r="C10" s="57"/>
      <x:c r="D10" s="63"/>
      <x:c r="E10" s="63"/>
      <x:c r="F10" s="63"/>
      <x:c r="G10" s="63"/>
      <x:c r="H10" s="63"/>
      <x:c r="I10" s="57"/>
      <x:c r="J10" s="63"/>
      <x:c r="K10" s="63"/>
      <x:c r="L10" s="57"/>
      <x:c r="M10" s="66"/>
      <x:c r="N10" s="57"/>
      <x:c r="O10" s="60" t="str">
        <x:f>IF(COUNTA(A10:N10)=0,"",IF(OR(A10="",B10="",C10="",D10="",E10="",F10="",G10="",H10="",I10="",J10="",L10=""),"缺少必填项",IF(COUNTIF($A$4:$A$53,A10)&gt;1,"学校ID重复",IF(COUNTIF($D$4:$D$53,D10)&gt;1,"站点ID重复","通过"))))</x:f>
      </x:c>
    </x:row>
    <x:row r="11" ht="22" customHeight="1">
      <x:c r="A11" s="63"/>
      <x:c r="B11" s="57"/>
      <x:c r="C11" s="57"/>
      <x:c r="D11" s="63"/>
      <x:c r="E11" s="63"/>
      <x:c r="F11" s="63"/>
      <x:c r="G11" s="63"/>
      <x:c r="H11" s="63"/>
      <x:c r="I11" s="57"/>
      <x:c r="J11" s="63"/>
      <x:c r="K11" s="63"/>
      <x:c r="L11" s="57"/>
      <x:c r="M11" s="66"/>
      <x:c r="N11" s="57"/>
      <x:c r="O11" s="60" t="str">
        <x:f>IF(COUNTA(A11:N11)=0,"",IF(OR(A11="",B11="",C11="",D11="",E11="",F11="",G11="",H11="",I11="",J11="",L11=""),"缺少必填项",IF(COUNTIF($A$4:$A$53,A11)&gt;1,"学校ID重复",IF(COUNTIF($D$4:$D$53,D11)&gt;1,"站点ID重复","通过"))))</x:f>
      </x:c>
    </x:row>
    <x:row r="12" ht="22" customHeight="1">
      <x:c r="A12" s="63"/>
      <x:c r="B12" s="57"/>
      <x:c r="C12" s="57"/>
      <x:c r="D12" s="63"/>
      <x:c r="E12" s="63"/>
      <x:c r="F12" s="63"/>
      <x:c r="G12" s="63"/>
      <x:c r="H12" s="63"/>
      <x:c r="I12" s="57"/>
      <x:c r="J12" s="63"/>
      <x:c r="K12" s="63"/>
      <x:c r="L12" s="57"/>
      <x:c r="M12" s="66"/>
      <x:c r="N12" s="57"/>
      <x:c r="O12" s="60" t="str">
        <x:f>IF(COUNTA(A12:N12)=0,"",IF(OR(A12="",B12="",C12="",D12="",E12="",F12="",G12="",H12="",I12="",J12="",L12=""),"缺少必填项",IF(COUNTIF($A$4:$A$53,A12)&gt;1,"学校ID重复",IF(COUNTIF($D$4:$D$53,D12)&gt;1,"站点ID重复","通过"))))</x:f>
      </x:c>
    </x:row>
    <x:row r="13" ht="22" customHeight="1">
      <x:c r="A13" s="63"/>
      <x:c r="B13" s="57"/>
      <x:c r="C13" s="57"/>
      <x:c r="D13" s="63"/>
      <x:c r="E13" s="63"/>
      <x:c r="F13" s="63"/>
      <x:c r="G13" s="63"/>
      <x:c r="H13" s="63"/>
      <x:c r="I13" s="57"/>
      <x:c r="J13" s="63"/>
      <x:c r="K13" s="63"/>
      <x:c r="L13" s="57"/>
      <x:c r="M13" s="66"/>
      <x:c r="N13" s="57"/>
      <x:c r="O13" s="60" t="str">
        <x:f>IF(COUNTA(A13:N13)=0,"",IF(OR(A13="",B13="",C13="",D13="",E13="",F13="",G13="",H13="",I13="",J13="",L13=""),"缺少必填项",IF(COUNTIF($A$4:$A$53,A13)&gt;1,"学校ID重复",IF(COUNTIF($D$4:$D$53,D13)&gt;1,"站点ID重复","通过"))))</x:f>
      </x:c>
    </x:row>
    <x:row r="14" ht="22" customHeight="1">
      <x:c r="A14" s="63"/>
      <x:c r="B14" s="57"/>
      <x:c r="C14" s="57"/>
      <x:c r="D14" s="63"/>
      <x:c r="E14" s="63"/>
      <x:c r="F14" s="63"/>
      <x:c r="G14" s="63"/>
      <x:c r="H14" s="63"/>
      <x:c r="I14" s="57"/>
      <x:c r="J14" s="63"/>
      <x:c r="K14" s="63"/>
      <x:c r="L14" s="57"/>
      <x:c r="M14" s="66"/>
      <x:c r="N14" s="57"/>
      <x:c r="O14" s="60" t="str">
        <x:f>IF(COUNTA(A14:N14)=0,"",IF(OR(A14="",B14="",C14="",D14="",E14="",F14="",G14="",H14="",I14="",J14="",L14=""),"缺少必填项",IF(COUNTIF($A$4:$A$53,A14)&gt;1,"学校ID重复",IF(COUNTIF($D$4:$D$53,D14)&gt;1,"站点ID重复","通过"))))</x:f>
      </x:c>
    </x:row>
    <x:row r="15" ht="22" customHeight="1">
      <x:c r="A15" s="63"/>
      <x:c r="B15" s="57"/>
      <x:c r="C15" s="57"/>
      <x:c r="D15" s="63"/>
      <x:c r="E15" s="63"/>
      <x:c r="F15" s="63"/>
      <x:c r="G15" s="63"/>
      <x:c r="H15" s="63"/>
      <x:c r="I15" s="57"/>
      <x:c r="J15" s="63"/>
      <x:c r="K15" s="63"/>
      <x:c r="L15" s="57"/>
      <x:c r="M15" s="66"/>
      <x:c r="N15" s="57"/>
      <x:c r="O15" s="60" t="str">
        <x:f>IF(COUNTA(A15:N15)=0,"",IF(OR(A15="",B15="",C15="",D15="",E15="",F15="",G15="",H15="",I15="",J15="",L15=""),"缺少必填项",IF(COUNTIF($A$4:$A$53,A15)&gt;1,"学校ID重复",IF(COUNTIF($D$4:$D$53,D15)&gt;1,"站点ID重复","通过"))))</x:f>
      </x:c>
    </x:row>
    <x:row r="16" ht="22" customHeight="1">
      <x:c r="A16" s="63"/>
      <x:c r="B16" s="57"/>
      <x:c r="C16" s="57"/>
      <x:c r="D16" s="63"/>
      <x:c r="E16" s="63"/>
      <x:c r="F16" s="63"/>
      <x:c r="G16" s="63"/>
      <x:c r="H16" s="63"/>
      <x:c r="I16" s="57"/>
      <x:c r="J16" s="63"/>
      <x:c r="K16" s="63"/>
      <x:c r="L16" s="57"/>
      <x:c r="M16" s="66"/>
      <x:c r="N16" s="57"/>
      <x:c r="O16" s="60" t="str">
        <x:f>IF(COUNTA(A16:N16)=0,"",IF(OR(A16="",B16="",C16="",D16="",E16="",F16="",G16="",H16="",I16="",J16="",L16=""),"缺少必填项",IF(COUNTIF($A$4:$A$53,A16)&gt;1,"学校ID重复",IF(COUNTIF($D$4:$D$53,D16)&gt;1,"站点ID重复","通过"))))</x:f>
      </x:c>
    </x:row>
    <x:row r="17" ht="22" customHeight="1">
      <x:c r="A17" s="63"/>
      <x:c r="B17" s="57"/>
      <x:c r="C17" s="57"/>
      <x:c r="D17" s="63"/>
      <x:c r="E17" s="63"/>
      <x:c r="F17" s="63"/>
      <x:c r="G17" s="63"/>
      <x:c r="H17" s="63"/>
      <x:c r="I17" s="57"/>
      <x:c r="J17" s="63"/>
      <x:c r="K17" s="63"/>
      <x:c r="L17" s="57"/>
      <x:c r="M17" s="66"/>
      <x:c r="N17" s="57"/>
      <x:c r="O17" s="60" t="str">
        <x:f>IF(COUNTA(A17:N17)=0,"",IF(OR(A17="",B17="",C17="",D17="",E17="",F17="",G17="",H17="",I17="",J17="",L17=""),"缺少必填项",IF(COUNTIF($A$4:$A$53,A17)&gt;1,"学校ID重复",IF(COUNTIF($D$4:$D$53,D17)&gt;1,"站点ID重复","通过"))))</x:f>
      </x:c>
    </x:row>
    <x:row r="18" ht="22" customHeight="1">
      <x:c r="A18" s="63"/>
      <x:c r="B18" s="57"/>
      <x:c r="C18" s="57"/>
      <x:c r="D18" s="63"/>
      <x:c r="E18" s="63"/>
      <x:c r="F18" s="63"/>
      <x:c r="G18" s="63"/>
      <x:c r="H18" s="63"/>
      <x:c r="I18" s="57"/>
      <x:c r="J18" s="63"/>
      <x:c r="K18" s="63"/>
      <x:c r="L18" s="57"/>
      <x:c r="M18" s="66"/>
      <x:c r="N18" s="57"/>
      <x:c r="O18" s="60" t="str">
        <x:f>IF(COUNTA(A18:N18)=0,"",IF(OR(A18="",B18="",C18="",D18="",E18="",F18="",G18="",H18="",I18="",J18="",L18=""),"缺少必填项",IF(COUNTIF($A$4:$A$53,A18)&gt;1,"学校ID重复",IF(COUNTIF($D$4:$D$53,D18)&gt;1,"站点ID重复","通过"))))</x:f>
      </x:c>
    </x:row>
    <x:row r="19" ht="22" customHeight="1">
      <x:c r="A19" s="63"/>
      <x:c r="B19" s="57"/>
      <x:c r="C19" s="57"/>
      <x:c r="D19" s="63"/>
      <x:c r="E19" s="63"/>
      <x:c r="F19" s="63"/>
      <x:c r="G19" s="63"/>
      <x:c r="H19" s="63"/>
      <x:c r="I19" s="57"/>
      <x:c r="J19" s="63"/>
      <x:c r="K19" s="63"/>
      <x:c r="L19" s="57"/>
      <x:c r="M19" s="66"/>
      <x:c r="N19" s="57"/>
      <x:c r="O19" s="60" t="str">
        <x:f>IF(COUNTA(A19:N19)=0,"",IF(OR(A19="",B19="",C19="",D19="",E19="",F19="",G19="",H19="",I19="",J19="",L19=""),"缺少必填项",IF(COUNTIF($A$4:$A$53,A19)&gt;1,"学校ID重复",IF(COUNTIF($D$4:$D$53,D19)&gt;1,"站点ID重复","通过"))))</x:f>
      </x:c>
    </x:row>
    <x:row r="20" ht="22" customHeight="1">
      <x:c r="A20" s="63"/>
      <x:c r="B20" s="57"/>
      <x:c r="C20" s="57"/>
      <x:c r="D20" s="63"/>
      <x:c r="E20" s="63"/>
      <x:c r="F20" s="63"/>
      <x:c r="G20" s="63"/>
      <x:c r="H20" s="63"/>
      <x:c r="I20" s="57"/>
      <x:c r="J20" s="63"/>
      <x:c r="K20" s="63"/>
      <x:c r="L20" s="57"/>
      <x:c r="M20" s="66"/>
      <x:c r="N20" s="57"/>
      <x:c r="O20" s="60" t="str">
        <x:f>IF(COUNTA(A20:N20)=0,"",IF(OR(A20="",B20="",C20="",D20="",E20="",F20="",G20="",H20="",I20="",J20="",L20=""),"缺少必填项",IF(COUNTIF($A$4:$A$53,A20)&gt;1,"学校ID重复",IF(COUNTIF($D$4:$D$53,D20)&gt;1,"站点ID重复","通过"))))</x:f>
      </x:c>
    </x:row>
    <x:row r="21" ht="22" customHeight="1">
      <x:c r="A21" s="63"/>
      <x:c r="B21" s="57"/>
      <x:c r="C21" s="57"/>
      <x:c r="D21" s="63"/>
      <x:c r="E21" s="63"/>
      <x:c r="F21" s="63"/>
      <x:c r="G21" s="63"/>
      <x:c r="H21" s="63"/>
      <x:c r="I21" s="57"/>
      <x:c r="J21" s="63"/>
      <x:c r="K21" s="63"/>
      <x:c r="L21" s="57"/>
      <x:c r="M21" s="66"/>
      <x:c r="N21" s="57"/>
      <x:c r="O21" s="60" t="str">
        <x:f>IF(COUNTA(A21:N21)=0,"",IF(OR(A21="",B21="",C21="",D21="",E21="",F21="",G21="",H21="",I21="",J21="",L21=""),"缺少必填项",IF(COUNTIF($A$4:$A$53,A21)&gt;1,"学校ID重复",IF(COUNTIF($D$4:$D$53,D21)&gt;1,"站点ID重复","通过"))))</x:f>
      </x:c>
    </x:row>
    <x:row r="22" ht="22" customHeight="1">
      <x:c r="A22" s="63"/>
      <x:c r="B22" s="57"/>
      <x:c r="C22" s="57"/>
      <x:c r="D22" s="63"/>
      <x:c r="E22" s="63"/>
      <x:c r="F22" s="63"/>
      <x:c r="G22" s="63"/>
      <x:c r="H22" s="63"/>
      <x:c r="I22" s="57"/>
      <x:c r="J22" s="63"/>
      <x:c r="K22" s="63"/>
      <x:c r="L22" s="57"/>
      <x:c r="M22" s="66"/>
      <x:c r="N22" s="57"/>
      <x:c r="O22" s="60" t="str">
        <x:f>IF(COUNTA(A22:N22)=0,"",IF(OR(A22="",B22="",C22="",D22="",E22="",F22="",G22="",H22="",I22="",J22="",L22=""),"缺少必填项",IF(COUNTIF($A$4:$A$53,A22)&gt;1,"学校ID重复",IF(COUNTIF($D$4:$D$53,D22)&gt;1,"站点ID重复","通过"))))</x:f>
      </x:c>
    </x:row>
    <x:row r="23" ht="22" customHeight="1">
      <x:c r="A23" s="63"/>
      <x:c r="B23" s="57"/>
      <x:c r="C23" s="57"/>
      <x:c r="D23" s="63"/>
      <x:c r="E23" s="63"/>
      <x:c r="F23" s="63"/>
      <x:c r="G23" s="63"/>
      <x:c r="H23" s="63"/>
      <x:c r="I23" s="57"/>
      <x:c r="J23" s="63"/>
      <x:c r="K23" s="63"/>
      <x:c r="L23" s="57"/>
      <x:c r="M23" s="66"/>
      <x:c r="N23" s="57"/>
      <x:c r="O23" s="60" t="str">
        <x:f>IF(COUNTA(A23:N23)=0,"",IF(OR(A23="",B23="",C23="",D23="",E23="",F23="",G23="",H23="",I23="",J23="",L23=""),"缺少必填项",IF(COUNTIF($A$4:$A$53,A23)&gt;1,"学校ID重复",IF(COUNTIF($D$4:$D$53,D23)&gt;1,"站点ID重复","通过"))))</x:f>
      </x:c>
    </x:row>
    <x:row r="24" ht="22" customHeight="1">
      <x:c r="A24" s="63"/>
      <x:c r="B24" s="57"/>
      <x:c r="C24" s="57"/>
      <x:c r="D24" s="63"/>
      <x:c r="E24" s="63"/>
      <x:c r="F24" s="63"/>
      <x:c r="G24" s="63"/>
      <x:c r="H24" s="63"/>
      <x:c r="I24" s="57"/>
      <x:c r="J24" s="63"/>
      <x:c r="K24" s="63"/>
      <x:c r="L24" s="57"/>
      <x:c r="M24" s="66"/>
      <x:c r="N24" s="57"/>
      <x:c r="O24" s="60" t="str">
        <x:f>IF(COUNTA(A24:N24)=0,"",IF(OR(A24="",B24="",C24="",D24="",E24="",F24="",G24="",H24="",I24="",J24="",L24=""),"缺少必填项",IF(COUNTIF($A$4:$A$53,A24)&gt;1,"学校ID重复",IF(COUNTIF($D$4:$D$53,D24)&gt;1,"站点ID重复","通过"))))</x:f>
      </x:c>
    </x:row>
    <x:row r="25" ht="22" customHeight="1">
      <x:c r="A25" s="63"/>
      <x:c r="B25" s="57"/>
      <x:c r="C25" s="57"/>
      <x:c r="D25" s="63"/>
      <x:c r="E25" s="63"/>
      <x:c r="F25" s="63"/>
      <x:c r="G25" s="63"/>
      <x:c r="H25" s="63"/>
      <x:c r="I25" s="57"/>
      <x:c r="J25" s="63"/>
      <x:c r="K25" s="63"/>
      <x:c r="L25" s="57"/>
      <x:c r="M25" s="66"/>
      <x:c r="N25" s="57"/>
      <x:c r="O25" s="60" t="str">
        <x:f>IF(COUNTA(A25:N25)=0,"",IF(OR(A25="",B25="",C25="",D25="",E25="",F25="",G25="",H25="",I25="",J25="",L25=""),"缺少必填项",IF(COUNTIF($A$4:$A$53,A25)&gt;1,"学校ID重复",IF(COUNTIF($D$4:$D$53,D25)&gt;1,"站点ID重复","通过"))))</x:f>
      </x:c>
    </x:row>
    <x:row r="26" ht="22" customHeight="1">
      <x:c r="A26" s="63"/>
      <x:c r="B26" s="57"/>
      <x:c r="C26" s="57"/>
      <x:c r="D26" s="63"/>
      <x:c r="E26" s="63"/>
      <x:c r="F26" s="63"/>
      <x:c r="G26" s="63"/>
      <x:c r="H26" s="63"/>
      <x:c r="I26" s="57"/>
      <x:c r="J26" s="63"/>
      <x:c r="K26" s="63"/>
      <x:c r="L26" s="57"/>
      <x:c r="M26" s="66"/>
      <x:c r="N26" s="57"/>
      <x:c r="O26" s="60" t="str">
        <x:f>IF(COUNTA(A26:N26)=0,"",IF(OR(A26="",B26="",C26="",D26="",E26="",F26="",G26="",H26="",I26="",J26="",L26=""),"缺少必填项",IF(COUNTIF($A$4:$A$53,A26)&gt;1,"学校ID重复",IF(COUNTIF($D$4:$D$53,D26)&gt;1,"站点ID重复","通过"))))</x:f>
      </x:c>
    </x:row>
    <x:row r="27" ht="22" customHeight="1">
      <x:c r="A27" s="63"/>
      <x:c r="B27" s="57"/>
      <x:c r="C27" s="57"/>
      <x:c r="D27" s="63"/>
      <x:c r="E27" s="63"/>
      <x:c r="F27" s="63"/>
      <x:c r="G27" s="63"/>
      <x:c r="H27" s="63"/>
      <x:c r="I27" s="57"/>
      <x:c r="J27" s="63"/>
      <x:c r="K27" s="63"/>
      <x:c r="L27" s="57"/>
      <x:c r="M27" s="66"/>
      <x:c r="N27" s="57"/>
      <x:c r="O27" s="60" t="str">
        <x:f>IF(COUNTA(A27:N27)=0,"",IF(OR(A27="",B27="",C27="",D27="",E27="",F27="",G27="",H27="",I27="",J27="",L27=""),"缺少必填项",IF(COUNTIF($A$4:$A$53,A27)&gt;1,"学校ID重复",IF(COUNTIF($D$4:$D$53,D27)&gt;1,"站点ID重复","通过"))))</x:f>
      </x:c>
    </x:row>
    <x:row r="28" ht="22" customHeight="1">
      <x:c r="A28" s="63"/>
      <x:c r="B28" s="57"/>
      <x:c r="C28" s="57"/>
      <x:c r="D28" s="63"/>
      <x:c r="E28" s="63"/>
      <x:c r="F28" s="63"/>
      <x:c r="G28" s="63"/>
      <x:c r="H28" s="63"/>
      <x:c r="I28" s="57"/>
      <x:c r="J28" s="63"/>
      <x:c r="K28" s="63"/>
      <x:c r="L28" s="57"/>
      <x:c r="M28" s="66"/>
      <x:c r="N28" s="57"/>
      <x:c r="O28" s="60" t="str">
        <x:f>IF(COUNTA(A28:N28)=0,"",IF(OR(A28="",B28="",C28="",D28="",E28="",F28="",G28="",H28="",I28="",J28="",L28=""),"缺少必填项",IF(COUNTIF($A$4:$A$53,A28)&gt;1,"学校ID重复",IF(COUNTIF($D$4:$D$53,D28)&gt;1,"站点ID重复","通过"))))</x:f>
      </x:c>
    </x:row>
    <x:row r="29" ht="22" customHeight="1">
      <x:c r="A29" s="63"/>
      <x:c r="B29" s="57"/>
      <x:c r="C29" s="57"/>
      <x:c r="D29" s="63"/>
      <x:c r="E29" s="63"/>
      <x:c r="F29" s="63"/>
      <x:c r="G29" s="63"/>
      <x:c r="H29" s="63"/>
      <x:c r="I29" s="57"/>
      <x:c r="J29" s="63"/>
      <x:c r="K29" s="63"/>
      <x:c r="L29" s="57"/>
      <x:c r="M29" s="66"/>
      <x:c r="N29" s="57"/>
      <x:c r="O29" s="60" t="str">
        <x:f>IF(COUNTA(A29:N29)=0,"",IF(OR(A29="",B29="",C29="",D29="",E29="",F29="",G29="",H29="",I29="",J29="",L29=""),"缺少必填项",IF(COUNTIF($A$4:$A$53,A29)&gt;1,"学校ID重复",IF(COUNTIF($D$4:$D$53,D29)&gt;1,"站点ID重复","通过"))))</x:f>
      </x:c>
    </x:row>
    <x:row r="30" ht="22" customHeight="1">
      <x:c r="A30" s="63"/>
      <x:c r="B30" s="57"/>
      <x:c r="C30" s="57"/>
      <x:c r="D30" s="63"/>
      <x:c r="E30" s="63"/>
      <x:c r="F30" s="63"/>
      <x:c r="G30" s="63"/>
      <x:c r="H30" s="63"/>
      <x:c r="I30" s="57"/>
      <x:c r="J30" s="63"/>
      <x:c r="K30" s="63"/>
      <x:c r="L30" s="57"/>
      <x:c r="M30" s="66"/>
      <x:c r="N30" s="57"/>
      <x:c r="O30" s="60" t="str">
        <x:f>IF(COUNTA(A30:N30)=0,"",IF(OR(A30="",B30="",C30="",D30="",E30="",F30="",G30="",H30="",I30="",J30="",L30=""),"缺少必填项",IF(COUNTIF($A$4:$A$53,A30)&gt;1,"学校ID重复",IF(COUNTIF($D$4:$D$53,D30)&gt;1,"站点ID重复","通过"))))</x:f>
      </x:c>
    </x:row>
    <x:row r="31" ht="22" customHeight="1">
      <x:c r="A31" s="63"/>
      <x:c r="B31" s="57"/>
      <x:c r="C31" s="57"/>
      <x:c r="D31" s="63"/>
      <x:c r="E31" s="63"/>
      <x:c r="F31" s="63"/>
      <x:c r="G31" s="63"/>
      <x:c r="H31" s="63"/>
      <x:c r="I31" s="57"/>
      <x:c r="J31" s="63"/>
      <x:c r="K31" s="63"/>
      <x:c r="L31" s="57"/>
      <x:c r="M31" s="66"/>
      <x:c r="N31" s="57"/>
      <x:c r="O31" s="60" t="str">
        <x:f>IF(COUNTA(A31:N31)=0,"",IF(OR(A31="",B31="",C31="",D31="",E31="",F31="",G31="",H31="",I31="",J31="",L31=""),"缺少必填项",IF(COUNTIF($A$4:$A$53,A31)&gt;1,"学校ID重复",IF(COUNTIF($D$4:$D$53,D31)&gt;1,"站点ID重复","通过"))))</x:f>
      </x:c>
    </x:row>
    <x:row r="32" ht="22" customHeight="1">
      <x:c r="A32" s="63"/>
      <x:c r="B32" s="57"/>
      <x:c r="C32" s="57"/>
      <x:c r="D32" s="63"/>
      <x:c r="E32" s="63"/>
      <x:c r="F32" s="63"/>
      <x:c r="G32" s="63"/>
      <x:c r="H32" s="63"/>
      <x:c r="I32" s="57"/>
      <x:c r="J32" s="63"/>
      <x:c r="K32" s="63"/>
      <x:c r="L32" s="57"/>
      <x:c r="M32" s="66"/>
      <x:c r="N32" s="57"/>
      <x:c r="O32" s="60" t="str">
        <x:f>IF(COUNTA(A32:N32)=0,"",IF(OR(A32="",B32="",C32="",D32="",E32="",F32="",G32="",H32="",I32="",J32="",L32=""),"缺少必填项",IF(COUNTIF($A$4:$A$53,A32)&gt;1,"学校ID重复",IF(COUNTIF($D$4:$D$53,D32)&gt;1,"站点ID重复","通过"))))</x:f>
      </x:c>
    </x:row>
    <x:row r="33" ht="22" customHeight="1">
      <x:c r="A33" s="63"/>
      <x:c r="B33" s="57"/>
      <x:c r="C33" s="57"/>
      <x:c r="D33" s="63"/>
      <x:c r="E33" s="63"/>
      <x:c r="F33" s="63"/>
      <x:c r="G33" s="63"/>
      <x:c r="H33" s="63"/>
      <x:c r="I33" s="57"/>
      <x:c r="J33" s="63"/>
      <x:c r="K33" s="63"/>
      <x:c r="L33" s="57"/>
      <x:c r="M33" s="66"/>
      <x:c r="N33" s="57"/>
      <x:c r="O33" s="60" t="str">
        <x:f>IF(COUNTA(A33:N33)=0,"",IF(OR(A33="",B33="",C33="",D33="",E33="",F33="",G33="",H33="",I33="",J33="",L33=""),"缺少必填项",IF(COUNTIF($A$4:$A$53,A33)&gt;1,"学校ID重复",IF(COUNTIF($D$4:$D$53,D33)&gt;1,"站点ID重复","通过"))))</x:f>
      </x:c>
    </x:row>
    <x:row r="34" ht="22" customHeight="1">
      <x:c r="A34" s="63"/>
      <x:c r="B34" s="57"/>
      <x:c r="C34" s="57"/>
      <x:c r="D34" s="63"/>
      <x:c r="E34" s="63"/>
      <x:c r="F34" s="63"/>
      <x:c r="G34" s="63"/>
      <x:c r="H34" s="63"/>
      <x:c r="I34" s="57"/>
      <x:c r="J34" s="63"/>
      <x:c r="K34" s="63"/>
      <x:c r="L34" s="57"/>
      <x:c r="M34" s="66"/>
      <x:c r="N34" s="57"/>
      <x:c r="O34" s="60" t="str">
        <x:f>IF(COUNTA(A34:N34)=0,"",IF(OR(A34="",B34="",C34="",D34="",E34="",F34="",G34="",H34="",I34="",J34="",L34=""),"缺少必填项",IF(COUNTIF($A$4:$A$53,A34)&gt;1,"学校ID重复",IF(COUNTIF($D$4:$D$53,D34)&gt;1,"站点ID重复","通过"))))</x:f>
      </x:c>
    </x:row>
    <x:row r="35" ht="22" customHeight="1">
      <x:c r="A35" s="63"/>
      <x:c r="B35" s="57"/>
      <x:c r="C35" s="57"/>
      <x:c r="D35" s="63"/>
      <x:c r="E35" s="63"/>
      <x:c r="F35" s="63"/>
      <x:c r="G35" s="63"/>
      <x:c r="H35" s="63"/>
      <x:c r="I35" s="57"/>
      <x:c r="J35" s="63"/>
      <x:c r="K35" s="63"/>
      <x:c r="L35" s="57"/>
      <x:c r="M35" s="66"/>
      <x:c r="N35" s="57"/>
      <x:c r="O35" s="60" t="str">
        <x:f>IF(COUNTA(A35:N35)=0,"",IF(OR(A35="",B35="",C35="",D35="",E35="",F35="",G35="",H35="",I35="",J35="",L35=""),"缺少必填项",IF(COUNTIF($A$4:$A$53,A35)&gt;1,"学校ID重复",IF(COUNTIF($D$4:$D$53,D35)&gt;1,"站点ID重复","通过"))))</x:f>
      </x:c>
    </x:row>
    <x:row r="36" ht="22" customHeight="1">
      <x:c r="A36" s="63"/>
      <x:c r="B36" s="57"/>
      <x:c r="C36" s="57"/>
      <x:c r="D36" s="63"/>
      <x:c r="E36" s="63"/>
      <x:c r="F36" s="63"/>
      <x:c r="G36" s="63"/>
      <x:c r="H36" s="63"/>
      <x:c r="I36" s="57"/>
      <x:c r="J36" s="63"/>
      <x:c r="K36" s="63"/>
      <x:c r="L36" s="57"/>
      <x:c r="M36" s="66"/>
      <x:c r="N36" s="57"/>
      <x:c r="O36" s="60" t="str">
        <x:f>IF(COUNTA(A36:N36)=0,"",IF(OR(A36="",B36="",C36="",D36="",E36="",F36="",G36="",H36="",I36="",J36="",L36=""),"缺少必填项",IF(COUNTIF($A$4:$A$53,A36)&gt;1,"学校ID重复",IF(COUNTIF($D$4:$D$53,D36)&gt;1,"站点ID重复","通过"))))</x:f>
      </x:c>
    </x:row>
    <x:row r="37" ht="22" customHeight="1">
      <x:c r="A37" s="63"/>
      <x:c r="B37" s="57"/>
      <x:c r="C37" s="57"/>
      <x:c r="D37" s="63"/>
      <x:c r="E37" s="63"/>
      <x:c r="F37" s="63"/>
      <x:c r="G37" s="63"/>
      <x:c r="H37" s="63"/>
      <x:c r="I37" s="57"/>
      <x:c r="J37" s="63"/>
      <x:c r="K37" s="63"/>
      <x:c r="L37" s="57"/>
      <x:c r="M37" s="66"/>
      <x:c r="N37" s="57"/>
      <x:c r="O37" s="60" t="str">
        <x:f>IF(COUNTA(A37:N37)=0,"",IF(OR(A37="",B37="",C37="",D37="",E37="",F37="",G37="",H37="",I37="",J37="",L37=""),"缺少必填项",IF(COUNTIF($A$4:$A$53,A37)&gt;1,"学校ID重复",IF(COUNTIF($D$4:$D$53,D37)&gt;1,"站点ID重复","通过"))))</x:f>
      </x:c>
    </x:row>
    <x:row r="38" ht="22" customHeight="1">
      <x:c r="A38" s="63"/>
      <x:c r="B38" s="57"/>
      <x:c r="C38" s="57"/>
      <x:c r="D38" s="63"/>
      <x:c r="E38" s="63"/>
      <x:c r="F38" s="63"/>
      <x:c r="G38" s="63"/>
      <x:c r="H38" s="63"/>
      <x:c r="I38" s="57"/>
      <x:c r="J38" s="63"/>
      <x:c r="K38" s="63"/>
      <x:c r="L38" s="57"/>
      <x:c r="M38" s="66"/>
      <x:c r="N38" s="57"/>
      <x:c r="O38" s="60" t="str">
        <x:f>IF(COUNTA(A38:N38)=0,"",IF(OR(A38="",B38="",C38="",D38="",E38="",F38="",G38="",H38="",I38="",J38="",L38=""),"缺少必填项",IF(COUNTIF($A$4:$A$53,A38)&gt;1,"学校ID重复",IF(COUNTIF($D$4:$D$53,D38)&gt;1,"站点ID重复","通过"))))</x:f>
      </x:c>
    </x:row>
    <x:row r="39" ht="22" customHeight="1">
      <x:c r="A39" s="63"/>
      <x:c r="B39" s="57"/>
      <x:c r="C39" s="57"/>
      <x:c r="D39" s="63"/>
      <x:c r="E39" s="63"/>
      <x:c r="F39" s="63"/>
      <x:c r="G39" s="63"/>
      <x:c r="H39" s="63"/>
      <x:c r="I39" s="57"/>
      <x:c r="J39" s="63"/>
      <x:c r="K39" s="63"/>
      <x:c r="L39" s="57"/>
      <x:c r="M39" s="66"/>
      <x:c r="N39" s="57"/>
      <x:c r="O39" s="60" t="str">
        <x:f>IF(COUNTA(A39:N39)=0,"",IF(OR(A39="",B39="",C39="",D39="",E39="",F39="",G39="",H39="",I39="",J39="",L39=""),"缺少必填项",IF(COUNTIF($A$4:$A$53,A39)&gt;1,"学校ID重复",IF(COUNTIF($D$4:$D$53,D39)&gt;1,"站点ID重复","通过"))))</x:f>
      </x:c>
    </x:row>
    <x:row r="40" ht="22" customHeight="1">
      <x:c r="A40" s="63"/>
      <x:c r="B40" s="57"/>
      <x:c r="C40" s="57"/>
      <x:c r="D40" s="63"/>
      <x:c r="E40" s="63"/>
      <x:c r="F40" s="63"/>
      <x:c r="G40" s="63"/>
      <x:c r="H40" s="63"/>
      <x:c r="I40" s="57"/>
      <x:c r="J40" s="63"/>
      <x:c r="K40" s="63"/>
      <x:c r="L40" s="57"/>
      <x:c r="M40" s="66"/>
      <x:c r="N40" s="57"/>
      <x:c r="O40" s="60" t="str">
        <x:f>IF(COUNTA(A40:N40)=0,"",IF(OR(A40="",B40="",C40="",D40="",E40="",F40="",G40="",H40="",I40="",J40="",L40=""),"缺少必填项",IF(COUNTIF($A$4:$A$53,A40)&gt;1,"学校ID重复",IF(COUNTIF($D$4:$D$53,D40)&gt;1,"站点ID重复","通过"))))</x:f>
      </x:c>
    </x:row>
    <x:row r="41" ht="22" customHeight="1">
      <x:c r="A41" s="63"/>
      <x:c r="B41" s="57"/>
      <x:c r="C41" s="57"/>
      <x:c r="D41" s="63"/>
      <x:c r="E41" s="63"/>
      <x:c r="F41" s="63"/>
      <x:c r="G41" s="63"/>
      <x:c r="H41" s="63"/>
      <x:c r="I41" s="57"/>
      <x:c r="J41" s="63"/>
      <x:c r="K41" s="63"/>
      <x:c r="L41" s="57"/>
      <x:c r="M41" s="66"/>
      <x:c r="N41" s="57"/>
      <x:c r="O41" s="60" t="str">
        <x:f>IF(COUNTA(A41:N41)=0,"",IF(OR(A41="",B41="",C41="",D41="",E41="",F41="",G41="",H41="",I41="",J41="",L41=""),"缺少必填项",IF(COUNTIF($A$4:$A$53,A41)&gt;1,"学校ID重复",IF(COUNTIF($D$4:$D$53,D41)&gt;1,"站点ID重复","通过"))))</x:f>
      </x:c>
    </x:row>
    <x:row r="42" ht="22" customHeight="1">
      <x:c r="A42" s="63"/>
      <x:c r="B42" s="57"/>
      <x:c r="C42" s="57"/>
      <x:c r="D42" s="63"/>
      <x:c r="E42" s="63"/>
      <x:c r="F42" s="63"/>
      <x:c r="G42" s="63"/>
      <x:c r="H42" s="63"/>
      <x:c r="I42" s="57"/>
      <x:c r="J42" s="63"/>
      <x:c r="K42" s="63"/>
      <x:c r="L42" s="57"/>
      <x:c r="M42" s="66"/>
      <x:c r="N42" s="57"/>
      <x:c r="O42" s="60" t="str">
        <x:f>IF(COUNTA(A42:N42)=0,"",IF(OR(A42="",B42="",C42="",D42="",E42="",F42="",G42="",H42="",I42="",J42="",L42=""),"缺少必填项",IF(COUNTIF($A$4:$A$53,A42)&gt;1,"学校ID重复",IF(COUNTIF($D$4:$D$53,D42)&gt;1,"站点ID重复","通过"))))</x:f>
      </x:c>
    </x:row>
    <x:row r="43" ht="22" customHeight="1">
      <x:c r="A43" s="63"/>
      <x:c r="B43" s="57"/>
      <x:c r="C43" s="57"/>
      <x:c r="D43" s="63"/>
      <x:c r="E43" s="63"/>
      <x:c r="F43" s="63"/>
      <x:c r="G43" s="63"/>
      <x:c r="H43" s="63"/>
      <x:c r="I43" s="57"/>
      <x:c r="J43" s="63"/>
      <x:c r="K43" s="63"/>
      <x:c r="L43" s="57"/>
      <x:c r="M43" s="66"/>
      <x:c r="N43" s="57"/>
      <x:c r="O43" s="60" t="str">
        <x:f>IF(COUNTA(A43:N43)=0,"",IF(OR(A43="",B43="",C43="",D43="",E43="",F43="",G43="",H43="",I43="",J43="",L43=""),"缺少必填项",IF(COUNTIF($A$4:$A$53,A43)&gt;1,"学校ID重复",IF(COUNTIF($D$4:$D$53,D43)&gt;1,"站点ID重复","通过"))))</x:f>
      </x:c>
    </x:row>
    <x:row r="44" ht="22" customHeight="1">
      <x:c r="A44" s="63"/>
      <x:c r="B44" s="57"/>
      <x:c r="C44" s="57"/>
      <x:c r="D44" s="63"/>
      <x:c r="E44" s="63"/>
      <x:c r="F44" s="63"/>
      <x:c r="G44" s="63"/>
      <x:c r="H44" s="63"/>
      <x:c r="I44" s="57"/>
      <x:c r="J44" s="63"/>
      <x:c r="K44" s="63"/>
      <x:c r="L44" s="57"/>
      <x:c r="M44" s="66"/>
      <x:c r="N44" s="57"/>
      <x:c r="O44" s="60" t="str">
        <x:f>IF(COUNTA(A44:N44)=0,"",IF(OR(A44="",B44="",C44="",D44="",E44="",F44="",G44="",H44="",I44="",J44="",L44=""),"缺少必填项",IF(COUNTIF($A$4:$A$53,A44)&gt;1,"学校ID重复",IF(COUNTIF($D$4:$D$53,D44)&gt;1,"站点ID重复","通过"))))</x:f>
      </x:c>
    </x:row>
    <x:row r="45" ht="22" customHeight="1">
      <x:c r="A45" s="63"/>
      <x:c r="B45" s="57"/>
      <x:c r="C45" s="57"/>
      <x:c r="D45" s="63"/>
      <x:c r="E45" s="63"/>
      <x:c r="F45" s="63"/>
      <x:c r="G45" s="63"/>
      <x:c r="H45" s="63"/>
      <x:c r="I45" s="57"/>
      <x:c r="J45" s="63"/>
      <x:c r="K45" s="63"/>
      <x:c r="L45" s="57"/>
      <x:c r="M45" s="66"/>
      <x:c r="N45" s="57"/>
      <x:c r="O45" s="60" t="str">
        <x:f>IF(COUNTA(A45:N45)=0,"",IF(OR(A45="",B45="",C45="",D45="",E45="",F45="",G45="",H45="",I45="",J45="",L45=""),"缺少必填项",IF(COUNTIF($A$4:$A$53,A45)&gt;1,"学校ID重复",IF(COUNTIF($D$4:$D$53,D45)&gt;1,"站点ID重复","通过"))))</x:f>
      </x:c>
    </x:row>
    <x:row r="46" ht="22" customHeight="1">
      <x:c r="A46" s="63"/>
      <x:c r="B46" s="57"/>
      <x:c r="C46" s="57"/>
      <x:c r="D46" s="63"/>
      <x:c r="E46" s="63"/>
      <x:c r="F46" s="63"/>
      <x:c r="G46" s="63"/>
      <x:c r="H46" s="63"/>
      <x:c r="I46" s="57"/>
      <x:c r="J46" s="63"/>
      <x:c r="K46" s="63"/>
      <x:c r="L46" s="57"/>
      <x:c r="M46" s="66"/>
      <x:c r="N46" s="57"/>
      <x:c r="O46" s="60" t="str">
        <x:f>IF(COUNTA(A46:N46)=0,"",IF(OR(A46="",B46="",C46="",D46="",E46="",F46="",G46="",H46="",I46="",J46="",L46=""),"缺少必填项",IF(COUNTIF($A$4:$A$53,A46)&gt;1,"学校ID重复",IF(COUNTIF($D$4:$D$53,D46)&gt;1,"站点ID重复","通过"))))</x:f>
      </x:c>
    </x:row>
    <x:row r="47" ht="22" customHeight="1">
      <x:c r="A47" s="63"/>
      <x:c r="B47" s="57"/>
      <x:c r="C47" s="57"/>
      <x:c r="D47" s="63"/>
      <x:c r="E47" s="63"/>
      <x:c r="F47" s="63"/>
      <x:c r="G47" s="63"/>
      <x:c r="H47" s="63"/>
      <x:c r="I47" s="57"/>
      <x:c r="J47" s="63"/>
      <x:c r="K47" s="63"/>
      <x:c r="L47" s="57"/>
      <x:c r="M47" s="66"/>
      <x:c r="N47" s="57"/>
      <x:c r="O47" s="60" t="str">
        <x:f>IF(COUNTA(A47:N47)=0,"",IF(OR(A47="",B47="",C47="",D47="",E47="",F47="",G47="",H47="",I47="",J47="",L47=""),"缺少必填项",IF(COUNTIF($A$4:$A$53,A47)&gt;1,"学校ID重复",IF(COUNTIF($D$4:$D$53,D47)&gt;1,"站点ID重复","通过"))))</x:f>
      </x:c>
    </x:row>
    <x:row r="48" ht="22" customHeight="1">
      <x:c r="A48" s="63"/>
      <x:c r="B48" s="57"/>
      <x:c r="C48" s="57"/>
      <x:c r="D48" s="63"/>
      <x:c r="E48" s="63"/>
      <x:c r="F48" s="63"/>
      <x:c r="G48" s="63"/>
      <x:c r="H48" s="63"/>
      <x:c r="I48" s="57"/>
      <x:c r="J48" s="63"/>
      <x:c r="K48" s="63"/>
      <x:c r="L48" s="57"/>
      <x:c r="M48" s="66"/>
      <x:c r="N48" s="57"/>
      <x:c r="O48" s="60" t="str">
        <x:f>IF(COUNTA(A48:N48)=0,"",IF(OR(A48="",B48="",C48="",D48="",E48="",F48="",G48="",H48="",I48="",J48="",L48=""),"缺少必填项",IF(COUNTIF($A$4:$A$53,A48)&gt;1,"学校ID重复",IF(COUNTIF($D$4:$D$53,D48)&gt;1,"站点ID重复","通过"))))</x:f>
      </x:c>
    </x:row>
    <x:row r="49" ht="22" customHeight="1">
      <x:c r="A49" s="63"/>
      <x:c r="B49" s="57"/>
      <x:c r="C49" s="57"/>
      <x:c r="D49" s="63"/>
      <x:c r="E49" s="63"/>
      <x:c r="F49" s="63"/>
      <x:c r="G49" s="63"/>
      <x:c r="H49" s="63"/>
      <x:c r="I49" s="57"/>
      <x:c r="J49" s="63"/>
      <x:c r="K49" s="63"/>
      <x:c r="L49" s="57"/>
      <x:c r="M49" s="66"/>
      <x:c r="N49" s="57"/>
      <x:c r="O49" s="60" t="str">
        <x:f>IF(COUNTA(A49:N49)=0,"",IF(OR(A49="",B49="",C49="",D49="",E49="",F49="",G49="",H49="",I49="",J49="",L49=""),"缺少必填项",IF(COUNTIF($A$4:$A$53,A49)&gt;1,"学校ID重复",IF(COUNTIF($D$4:$D$53,D49)&gt;1,"站点ID重复","通过"))))</x:f>
      </x:c>
    </x:row>
    <x:row r="50" ht="22" customHeight="1">
      <x:c r="A50" s="63"/>
      <x:c r="B50" s="57"/>
      <x:c r="C50" s="57"/>
      <x:c r="D50" s="63"/>
      <x:c r="E50" s="63"/>
      <x:c r="F50" s="63"/>
      <x:c r="G50" s="63"/>
      <x:c r="H50" s="63"/>
      <x:c r="I50" s="57"/>
      <x:c r="J50" s="63"/>
      <x:c r="K50" s="63"/>
      <x:c r="L50" s="57"/>
      <x:c r="M50" s="66"/>
      <x:c r="N50" s="57"/>
      <x:c r="O50" s="60" t="str">
        <x:f>IF(COUNTA(A50:N50)=0,"",IF(OR(A50="",B50="",C50="",D50="",E50="",F50="",G50="",H50="",I50="",J50="",L50=""),"缺少必填项",IF(COUNTIF($A$4:$A$53,A50)&gt;1,"学校ID重复",IF(COUNTIF($D$4:$D$53,D50)&gt;1,"站点ID重复","通过"))))</x:f>
      </x:c>
    </x:row>
    <x:row r="51" ht="22" customHeight="1">
      <x:c r="A51" s="63"/>
      <x:c r="B51" s="57"/>
      <x:c r="C51" s="57"/>
      <x:c r="D51" s="63"/>
      <x:c r="E51" s="63"/>
      <x:c r="F51" s="63"/>
      <x:c r="G51" s="63"/>
      <x:c r="H51" s="63"/>
      <x:c r="I51" s="57"/>
      <x:c r="J51" s="63"/>
      <x:c r="K51" s="63"/>
      <x:c r="L51" s="57"/>
      <x:c r="M51" s="66"/>
      <x:c r="N51" s="57"/>
      <x:c r="O51" s="60" t="str">
        <x:f>IF(COUNTA(A51:N51)=0,"",IF(OR(A51="",B51="",C51="",D51="",E51="",F51="",G51="",H51="",I51="",J51="",L51=""),"缺少必填项",IF(COUNTIF($A$4:$A$53,A51)&gt;1,"学校ID重复",IF(COUNTIF($D$4:$D$53,D51)&gt;1,"站点ID重复","通过"))))</x:f>
      </x:c>
    </x:row>
    <x:row r="52" ht="22" customHeight="1">
      <x:c r="A52" s="63"/>
      <x:c r="B52" s="57"/>
      <x:c r="C52" s="57"/>
      <x:c r="D52" s="63"/>
      <x:c r="E52" s="63"/>
      <x:c r="F52" s="63"/>
      <x:c r="G52" s="63"/>
      <x:c r="H52" s="63"/>
      <x:c r="I52" s="57"/>
      <x:c r="J52" s="63"/>
      <x:c r="K52" s="63"/>
      <x:c r="L52" s="57"/>
      <x:c r="M52" s="66"/>
      <x:c r="N52" s="57"/>
      <x:c r="O52" s="60" t="str">
        <x:f>IF(COUNTA(A52:N52)=0,"",IF(OR(A52="",B52="",C52="",D52="",E52="",F52="",G52="",H52="",I52="",J52="",L52=""),"缺少必填项",IF(COUNTIF($A$4:$A$53,A52)&gt;1,"学校ID重复",IF(COUNTIF($D$4:$D$53,D52)&gt;1,"站点ID重复","通过"))))</x:f>
      </x:c>
    </x:row>
    <x:row r="53" ht="22" customHeight="1">
      <x:c r="A53" s="64"/>
      <x:c r="B53" s="58"/>
      <x:c r="C53" s="58"/>
      <x:c r="D53" s="64"/>
      <x:c r="E53" s="64"/>
      <x:c r="F53" s="64"/>
      <x:c r="G53" s="64"/>
      <x:c r="H53" s="64"/>
      <x:c r="I53" s="58"/>
      <x:c r="J53" s="64"/>
      <x:c r="K53" s="64"/>
      <x:c r="L53" s="58"/>
      <x:c r="M53" s="67"/>
      <x:c r="N53" s="58"/>
      <x:c r="O53" s="61" t="str">
        <x:f>IF(COUNTA(A53:N53)=0,"",IF(OR(A53="",B53="",C53="",D53="",E53="",F53="",G53="",H53="",I53="",J53="",L53=""),"缺少必填项",IF(COUNTIF($A$4:$A$53,A53)&gt;1,"学校ID重复",IF(COUNTIF($D$4:$D$53,D53)&gt;1,"站点ID重复","通过"))))</x:f>
      </x:c>
    </x:row>
  </x:sheetData>
  <x:mergeCells>
    <x:mergeCell ref="A1:O1"/>
    <x:mergeCell ref="A2:O2"/>
  </x:mergeCells>
  <x:conditionalFormatting sqref="A4:A53">
    <x:cfRule type="expression" dxfId="0" priority="1">
      <x:formula>AND($A4&lt;&gt;"",COUNTIF($A$4:$A$53,$A4)&gt;1)</x:formula>
    </x:cfRule>
  </x:conditionalFormatting>
  <x:conditionalFormatting sqref="D4:D53">
    <x:cfRule type="expression" dxfId="1" priority="2">
      <x:formula>AND($D4&lt;&gt;"",COUNTIF($D$4:$D$53,$D4)&gt;1)</x:formula>
    </x:cfRule>
  </x:conditionalFormatting>
  <x:conditionalFormatting sqref="O4:O53">
    <x:cfRule type="expression" dxfId="2" priority="3">
      <x:formula>$O4="通过"</x:formula>
    </x:cfRule>
    <x:cfRule type="expression" dxfId="3" priority="4">
      <x:formula>AND($O4&lt;&gt;"",$O4&lt;&gt;"通过")</x:formula>
    </x:cfRule>
  </x:conditionalFormatting>
  <x:dataValidations count="1">
    <x:dataValidation type="list" sqref="L4:L53">
      <x:formula1>"未联调,联调通过,联调异常"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5dcc2b1e5449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26" hidden="0" customWidth="1"/>
    <x:col min="20" max="20" width="21" hidden="0" customWidth="1"/>
  </x:cols>
  <x:sheetData>
    <x:row r="1" ht="34" customHeight="1">
      <x:c r="A1" s="4" t="str">
        <x:v>全局队伍 ID 与各校 Hydro 账号映射</x:v>
      </x:c>
      <x:c r="B1" s="4" t="str">
        <x:v>全局队伍 ID 与各校 Hydro 账号映射</x:v>
      </x:c>
      <x:c r="C1" s="4" t="str">
        <x:v>全局队伍 ID 与各校 Hydro 账号映射</x:v>
      </x:c>
      <x:c r="D1" s="4" t="str">
        <x:v>全局队伍 ID 与各校 Hydro 账号映射</x:v>
      </x:c>
      <x:c r="E1" s="4" t="str">
        <x:v>全局队伍 ID 与各校 Hydro 账号映射</x:v>
      </x:c>
      <x:c r="F1" s="4" t="str">
        <x:v>全局队伍 ID 与各校 Hydro 账号映射</x:v>
      </x:c>
      <x:c r="G1" s="4" t="str">
        <x:v>全局队伍 ID 与各校 Hydro 账号映射</x:v>
      </x:c>
      <x:c r="H1" s="4" t="str">
        <x:v>全局队伍 ID 与各校 Hydro 账号映射</x:v>
      </x:c>
      <x:c r="I1" s="4" t="str">
        <x:v>全局队伍 ID 与各校 Hydro 账号映射</x:v>
      </x:c>
      <x:c r="J1" s="4" t="str">
        <x:v>全局队伍 ID 与各校 Hydro 账号映射</x:v>
      </x:c>
      <x:c r="K1" s="4" t="str">
        <x:v>全局队伍 ID 与各校 Hydro 账号映射</x:v>
      </x:c>
      <x:c r="L1" s="4" t="str">
        <x:v>全局队伍 ID 与各校 Hydro 账号映射</x:v>
      </x:c>
      <x:c r="M1" s="4" t="str">
        <x:v>全局队伍 ID 与各校 Hydro 账号映射</x:v>
      </x:c>
      <x:c r="N1" s="4" t="str">
        <x:v>全局队伍 ID 与各校 Hydro 账号映射</x:v>
      </x:c>
      <x:c r="O1" s="4" t="str">
        <x:v>全局队伍 ID 与各校 Hydro 账号映射</x:v>
      </x:c>
      <x:c r="P1" s="4" t="str">
        <x:v>全局队伍 ID 与各校 Hydro 账号映射</x:v>
      </x:c>
      <x:c r="Q1" s="4" t="str">
        <x:v>全局队伍 ID 与各校 Hydro 账号映射</x:v>
      </x:c>
      <x:c r="R1" s="4" t="str">
        <x:v>全局队伍 ID 与各校 Hydro 账号映射</x:v>
      </x:c>
      <x:c r="S1" s="4" t="str">
        <x:v>全局队伍 ID 与各校 Hydro 账号映射</x:v>
      </x:c>
      <x:c r="T1" s="4" t="str">
        <x:v>全局队伍 ID 与各校 Hydro 账号映射</x:v>
      </x:c>
    </x:row>
    <x:row r="2" ht="34" customHeight="1">
      <x:c r="A2" s="8" t="str">
        <x:v>每支队伍一行。灰色的域ID和比赛ID由学校ID自动带出，请勿覆盖；同一学校的Hydro UID只能映射到一个启用队伍。</x:v>
      </x:c>
      <x:c r="B2" s="8" t="str">
        <x:v>每支队伍一行。灰色的域ID和比赛ID由学校ID自动带出，请勿覆盖；同一学校的Hydro UID只能映射到一个启用队伍。</x:v>
      </x:c>
      <x:c r="C2" s="8" t="str">
        <x:v>每支队伍一行。灰色的域ID和比赛ID由学校ID自动带出，请勿覆盖；同一学校的Hydro UID只能映射到一个启用队伍。</x:v>
      </x:c>
      <x:c r="D2" s="8" t="str">
        <x:v>每支队伍一行。灰色的域ID和比赛ID由学校ID自动带出，请勿覆盖；同一学校的Hydro UID只能映射到一个启用队伍。</x:v>
      </x:c>
      <x:c r="E2" s="8" t="str">
        <x:v>每支队伍一行。灰色的域ID和比赛ID由学校ID自动带出，请勿覆盖；同一学校的Hydro UID只能映射到一个启用队伍。</x:v>
      </x:c>
      <x:c r="F2" s="8" t="str">
        <x:v>每支队伍一行。灰色的域ID和比赛ID由学校ID自动带出，请勿覆盖；同一学校的Hydro UID只能映射到一个启用队伍。</x:v>
      </x:c>
      <x:c r="G2" s="8" t="str">
        <x:v>每支队伍一行。灰色的域ID和比赛ID由学校ID自动带出，请勿覆盖；同一学校的Hydro UID只能映射到一个启用队伍。</x:v>
      </x:c>
      <x:c r="H2" s="8" t="str">
        <x:v>每支队伍一行。灰色的域ID和比赛ID由学校ID自动带出，请勿覆盖；同一学校的Hydro UID只能映射到一个启用队伍。</x:v>
      </x:c>
      <x:c r="I2" s="8" t="str">
        <x:v>每支队伍一行。灰色的域ID和比赛ID由学校ID自动带出，请勿覆盖；同一学校的Hydro UID只能映射到一个启用队伍。</x:v>
      </x:c>
      <x:c r="J2" s="8" t="str">
        <x:v>每支队伍一行。灰色的域ID和比赛ID由学校ID自动带出，请勿覆盖；同一学校的Hydro UID只能映射到一个启用队伍。</x:v>
      </x:c>
      <x:c r="K2" s="8" t="str">
        <x:v>每支队伍一行。灰色的域ID和比赛ID由学校ID自动带出，请勿覆盖；同一学校的Hydro UID只能映射到一个启用队伍。</x:v>
      </x:c>
      <x:c r="L2" s="8" t="str">
        <x:v>每支队伍一行。灰色的域ID和比赛ID由学校ID自动带出，请勿覆盖；同一学校的Hydro UID只能映射到一个启用队伍。</x:v>
      </x:c>
      <x:c r="M2" s="8" t="str">
        <x:v>每支队伍一行。灰色的域ID和比赛ID由学校ID自动带出，请勿覆盖；同一学校的Hydro UID只能映射到一个启用队伍。</x:v>
      </x:c>
      <x:c r="N2" s="8" t="str">
        <x:v>每支队伍一行。灰色的域ID和比赛ID由学校ID自动带出，请勿覆盖；同一学校的Hydro UID只能映射到一个启用队伍。</x:v>
      </x:c>
      <x:c r="O2" s="8" t="str">
        <x:v>每支队伍一行。灰色的域ID和比赛ID由学校ID自动带出，请勿覆盖；同一学校的Hydro UID只能映射到一个启用队伍。</x:v>
      </x:c>
      <x:c r="P2" s="8" t="str">
        <x:v>每支队伍一行。灰色的域ID和比赛ID由学校ID自动带出，请勿覆盖；同一学校的Hydro UID只能映射到一个启用队伍。</x:v>
      </x:c>
      <x:c r="Q2" s="8" t="str">
        <x:v>每支队伍一行。灰色的域ID和比赛ID由学校ID自动带出，请勿覆盖；同一学校的Hydro UID只能映射到一个启用队伍。</x:v>
      </x:c>
      <x:c r="R2" s="8" t="str">
        <x:v>每支队伍一行。灰色的域ID和比赛ID由学校ID自动带出，请勿覆盖；同一学校的Hydro UID只能映射到一个启用队伍。</x:v>
      </x:c>
      <x:c r="S2" s="8" t="str">
        <x:v>每支队伍一行。灰色的域ID和比赛ID由学校ID自动带出，请勿覆盖；同一学校的Hydro UID只能映射到一个启用队伍。</x:v>
      </x:c>
      <x:c r="T2" s="8" t="str">
        <x:v>每支队伍一行。灰色的域ID和比赛ID由学校ID自动带出，请勿覆盖；同一学校的Hydro UID只能映射到一个启用队伍。</x:v>
      </x:c>
    </x:row>
    <x:row r="3" ht="36" customHeight="1">
      <x:c r="A3" s="20" t="str">
        <x:v>全局队伍ID*</x:v>
      </x:c>
      <x:c r="B3" s="21" t="str">
        <x:v>学校ID*</x:v>
      </x:c>
      <x:c r="C3" s="21" t="str">
        <x:v>队伍名称*</x:v>
      </x:c>
      <x:c r="D3" s="21" t="str">
        <x:v>队伍类型*</x:v>
      </x:c>
      <x:c r="E3" s="21" t="str">
        <x:v>本地域ID</x:v>
      </x:c>
      <x:c r="F3" s="21" t="str">
        <x:v>本地比赛ID</x:v>
      </x:c>
      <x:c r="G3" s="21" t="str">
        <x:v>本地Hydro UID*</x:v>
      </x:c>
      <x:c r="H3" s="21" t="str">
        <x:v>本地Hydro用户名*</x:v>
      </x:c>
      <x:c r="I3" s="21" t="str">
        <x:v>Hydro显示名</x:v>
      </x:c>
      <x:c r="J3" s="21" t="str">
        <x:v>成员1姓名*</x:v>
      </x:c>
      <x:c r="K3" s="21" t="str">
        <x:v>成员1学号</x:v>
      </x:c>
      <x:c r="L3" s="21" t="str">
        <x:v>成员2姓名</x:v>
      </x:c>
      <x:c r="M3" s="21" t="str">
        <x:v>成员2学号</x:v>
      </x:c>
      <x:c r="N3" s="21" t="str">
        <x:v>成员3姓名</x:v>
      </x:c>
      <x:c r="O3" s="21" t="str">
        <x:v>成员3学号</x:v>
      </x:c>
      <x:c r="P3" s="21" t="str">
        <x:v>教练姓名</x:v>
      </x:c>
      <x:c r="Q3" s="21" t="str">
        <x:v>座位号</x:v>
      </x:c>
      <x:c r="R3" s="21" t="str">
        <x:v>启用状态*</x:v>
      </x:c>
      <x:c r="S3" s="21" t="str">
        <x:v>备注</x:v>
      </x:c>
      <x:c r="T3" s="22" t="str">
        <x:v>校验结果</x:v>
      </x:c>
    </x:row>
    <x:row r="4" ht="22" customHeight="1">
      <x:c r="A4" s="68"/>
      <x:c r="B4" s="68"/>
      <x:c r="C4" s="68"/>
      <x:c r="D4" s="68"/>
      <x:c r="E4" s="69" t="str">
        <x:f>IFERROR(INDEX('学校信息'!$F$4:$F$53,MATCH(B4,'学校信息'!$A$4:$A$53,0)),"")</x:f>
      </x:c>
      <x:c r="F4" s="69" t="str">
        <x:f>IFERROR(INDEX('学校信息'!$G$4:$G$53,MATCH(B4,'学校信息'!$A$4:$A$53,0)),"")</x:f>
      </x:c>
      <x:c r="G4" s="74"/>
      <x:c r="H4" s="68"/>
      <x:c r="I4" s="68"/>
      <x:c r="J4" s="27"/>
      <x:c r="K4" s="68"/>
      <x:c r="L4" s="68"/>
      <x:c r="M4" s="68"/>
      <x:c r="N4" s="68"/>
      <x:c r="O4" s="68"/>
      <x:c r="P4" s="27"/>
      <x:c r="Q4" s="68"/>
      <x:c r="R4" s="27"/>
      <x:c r="S4" s="27"/>
      <x:c r="T4" s="59" t="str">
        <x:f>IF(COUNTA(A4:D4)+COUNTA(G4:S4)=0,"",IF(OR(A4="",B4="",C4="",D4="",G4="",H4="",J4="",R4=""),"缺少必填项",IF(COUNTIF($A$4:$A$203,A4)&gt;1,"全局队伍ID重复",IF(COUNTIF('学校信息'!$A$4:$A$53,B4)=0,"学校ID不存在",IF(COUNTIFS($B$4:$B$203,B4,$G$4:$G$203,G4,$R$4:$R$203,"启用")&gt;1,"同校Hydro UID重复","通过")))))</x:f>
      </x:c>
    </x:row>
    <x:row r="5" ht="22" customHeight="1">
      <x:c r="A5" s="70"/>
      <x:c r="B5" s="70"/>
      <x:c r="C5" s="70"/>
      <x:c r="D5" s="70"/>
      <x:c r="E5" s="71" t="str">
        <x:f>IFERROR(INDEX('学校信息'!$F$4:$F$53,MATCH(B5,'学校信息'!$A$4:$A$53,0)),"")</x:f>
      </x:c>
      <x:c r="F5" s="71" t="str">
        <x:f>IFERROR(INDEX('学校信息'!$G$4:$G$53,MATCH(B5,'学校信息'!$A$4:$A$53,0)),"")</x:f>
      </x:c>
      <x:c r="G5" s="75"/>
      <x:c r="H5" s="70"/>
      <x:c r="I5" s="70"/>
      <x:c r="J5" s="28"/>
      <x:c r="K5" s="70"/>
      <x:c r="L5" s="70"/>
      <x:c r="M5" s="70"/>
      <x:c r="N5" s="70"/>
      <x:c r="O5" s="70"/>
      <x:c r="P5" s="28"/>
      <x:c r="Q5" s="70"/>
      <x:c r="R5" s="28"/>
      <x:c r="S5" s="28"/>
      <x:c r="T5" s="60" t="str">
        <x:f>IF(COUNTA(A5:D5)+COUNTA(G5:S5)=0,"",IF(OR(A5="",B5="",C5="",D5="",G5="",H5="",J5="",R5=""),"缺少必填项",IF(COUNTIF($A$4:$A$203,A5)&gt;1,"全局队伍ID重复",IF(COUNTIF('学校信息'!$A$4:$A$53,B5)=0,"学校ID不存在",IF(COUNTIFS($B$4:$B$203,B5,$G$4:$G$203,G5,$R$4:$R$203,"启用")&gt;1,"同校Hydro UID重复","通过")))))</x:f>
      </x:c>
    </x:row>
    <x:row r="6" ht="22" customHeight="1">
      <x:c r="A6" s="70"/>
      <x:c r="B6" s="70"/>
      <x:c r="C6" s="70"/>
      <x:c r="D6" s="70"/>
      <x:c r="E6" s="71" t="str">
        <x:f>IFERROR(INDEX('学校信息'!$F$4:$F$53,MATCH(B6,'学校信息'!$A$4:$A$53,0)),"")</x:f>
      </x:c>
      <x:c r="F6" s="71" t="str">
        <x:f>IFERROR(INDEX('学校信息'!$G$4:$G$53,MATCH(B6,'学校信息'!$A$4:$A$53,0)),"")</x:f>
      </x:c>
      <x:c r="G6" s="75"/>
      <x:c r="H6" s="70"/>
      <x:c r="I6" s="70"/>
      <x:c r="J6" s="28"/>
      <x:c r="K6" s="70"/>
      <x:c r="L6" s="70"/>
      <x:c r="M6" s="70"/>
      <x:c r="N6" s="70"/>
      <x:c r="O6" s="70"/>
      <x:c r="P6" s="28"/>
      <x:c r="Q6" s="70"/>
      <x:c r="R6" s="28"/>
      <x:c r="S6" s="28"/>
      <x:c r="T6" s="60" t="str">
        <x:f>IF(COUNTA(A6:D6)+COUNTA(G6:S6)=0,"",IF(OR(A6="",B6="",C6="",D6="",G6="",H6="",J6="",R6=""),"缺少必填项",IF(COUNTIF($A$4:$A$203,A6)&gt;1,"全局队伍ID重复",IF(COUNTIF('学校信息'!$A$4:$A$53,B6)=0,"学校ID不存在",IF(COUNTIFS($B$4:$B$203,B6,$G$4:$G$203,G6,$R$4:$R$203,"启用")&gt;1,"同校Hydro UID重复","通过")))))</x:f>
      </x:c>
    </x:row>
    <x:row r="7" ht="22" customHeight="1">
      <x:c r="A7" s="70"/>
      <x:c r="B7" s="70"/>
      <x:c r="C7" s="70"/>
      <x:c r="D7" s="70"/>
      <x:c r="E7" s="71" t="str">
        <x:f>IFERROR(INDEX('学校信息'!$F$4:$F$53,MATCH(B7,'学校信息'!$A$4:$A$53,0)),"")</x:f>
      </x:c>
      <x:c r="F7" s="71" t="str">
        <x:f>IFERROR(INDEX('学校信息'!$G$4:$G$53,MATCH(B7,'学校信息'!$A$4:$A$53,0)),"")</x:f>
      </x:c>
      <x:c r="G7" s="75"/>
      <x:c r="H7" s="70"/>
      <x:c r="I7" s="70"/>
      <x:c r="J7" s="28"/>
      <x:c r="K7" s="70"/>
      <x:c r="L7" s="70"/>
      <x:c r="M7" s="70"/>
      <x:c r="N7" s="70"/>
      <x:c r="O7" s="70"/>
      <x:c r="P7" s="28"/>
      <x:c r="Q7" s="70"/>
      <x:c r="R7" s="28"/>
      <x:c r="S7" s="28"/>
      <x:c r="T7" s="60" t="str">
        <x:f>IF(COUNTA(A7:D7)+COUNTA(G7:S7)=0,"",IF(OR(A7="",B7="",C7="",D7="",G7="",H7="",J7="",R7=""),"缺少必填项",IF(COUNTIF($A$4:$A$203,A7)&gt;1,"全局队伍ID重复",IF(COUNTIF('学校信息'!$A$4:$A$53,B7)=0,"学校ID不存在",IF(COUNTIFS($B$4:$B$203,B7,$G$4:$G$203,G7,$R$4:$R$203,"启用")&gt;1,"同校Hydro UID重复","通过")))))</x:f>
      </x:c>
    </x:row>
    <x:row r="8" ht="22" customHeight="1">
      <x:c r="A8" s="70"/>
      <x:c r="B8" s="70"/>
      <x:c r="C8" s="70"/>
      <x:c r="D8" s="70"/>
      <x:c r="E8" s="71" t="str">
        <x:f>IFERROR(INDEX('学校信息'!$F$4:$F$53,MATCH(B8,'学校信息'!$A$4:$A$53,0)),"")</x:f>
      </x:c>
      <x:c r="F8" s="71" t="str">
        <x:f>IFERROR(INDEX('学校信息'!$G$4:$G$53,MATCH(B8,'学校信息'!$A$4:$A$53,0)),"")</x:f>
      </x:c>
      <x:c r="G8" s="75"/>
      <x:c r="H8" s="70"/>
      <x:c r="I8" s="70"/>
      <x:c r="J8" s="28"/>
      <x:c r="K8" s="70"/>
      <x:c r="L8" s="70"/>
      <x:c r="M8" s="70"/>
      <x:c r="N8" s="70"/>
      <x:c r="O8" s="70"/>
      <x:c r="P8" s="28"/>
      <x:c r="Q8" s="70"/>
      <x:c r="R8" s="28"/>
      <x:c r="S8" s="28"/>
      <x:c r="T8" s="60" t="str">
        <x:f>IF(COUNTA(A8:D8)+COUNTA(G8:S8)=0,"",IF(OR(A8="",B8="",C8="",D8="",G8="",H8="",J8="",R8=""),"缺少必填项",IF(COUNTIF($A$4:$A$203,A8)&gt;1,"全局队伍ID重复",IF(COUNTIF('学校信息'!$A$4:$A$53,B8)=0,"学校ID不存在",IF(COUNTIFS($B$4:$B$203,B8,$G$4:$G$203,G8,$R$4:$R$203,"启用")&gt;1,"同校Hydro UID重复","通过")))))</x:f>
      </x:c>
    </x:row>
    <x:row r="9" ht="22" customHeight="1">
      <x:c r="A9" s="70"/>
      <x:c r="B9" s="70"/>
      <x:c r="C9" s="70"/>
      <x:c r="D9" s="70"/>
      <x:c r="E9" s="71" t="str">
        <x:f>IFERROR(INDEX('学校信息'!$F$4:$F$53,MATCH(B9,'学校信息'!$A$4:$A$53,0)),"")</x:f>
      </x:c>
      <x:c r="F9" s="71" t="str">
        <x:f>IFERROR(INDEX('学校信息'!$G$4:$G$53,MATCH(B9,'学校信息'!$A$4:$A$53,0)),"")</x:f>
      </x:c>
      <x:c r="G9" s="75"/>
      <x:c r="H9" s="70"/>
      <x:c r="I9" s="70"/>
      <x:c r="J9" s="28"/>
      <x:c r="K9" s="70"/>
      <x:c r="L9" s="70"/>
      <x:c r="M9" s="70"/>
      <x:c r="N9" s="70"/>
      <x:c r="O9" s="70"/>
      <x:c r="P9" s="28"/>
      <x:c r="Q9" s="70"/>
      <x:c r="R9" s="28"/>
      <x:c r="S9" s="28"/>
      <x:c r="T9" s="60" t="str">
        <x:f>IF(COUNTA(A9:D9)+COUNTA(G9:S9)=0,"",IF(OR(A9="",B9="",C9="",D9="",G9="",H9="",J9="",R9=""),"缺少必填项",IF(COUNTIF($A$4:$A$203,A9)&gt;1,"全局队伍ID重复",IF(COUNTIF('学校信息'!$A$4:$A$53,B9)=0,"学校ID不存在",IF(COUNTIFS($B$4:$B$203,B9,$G$4:$G$203,G9,$R$4:$R$203,"启用")&gt;1,"同校Hydro UID重复","通过")))))</x:f>
      </x:c>
    </x:row>
    <x:row r="10" ht="22" customHeight="1">
      <x:c r="A10" s="70"/>
      <x:c r="B10" s="70"/>
      <x:c r="C10" s="70"/>
      <x:c r="D10" s="70"/>
      <x:c r="E10" s="71" t="str">
        <x:f>IFERROR(INDEX('学校信息'!$F$4:$F$53,MATCH(B10,'学校信息'!$A$4:$A$53,0)),"")</x:f>
      </x:c>
      <x:c r="F10" s="71" t="str">
        <x:f>IFERROR(INDEX('学校信息'!$G$4:$G$53,MATCH(B10,'学校信息'!$A$4:$A$53,0)),"")</x:f>
      </x:c>
      <x:c r="G10" s="75"/>
      <x:c r="H10" s="70"/>
      <x:c r="I10" s="70"/>
      <x:c r="J10" s="28"/>
      <x:c r="K10" s="70"/>
      <x:c r="L10" s="70"/>
      <x:c r="M10" s="70"/>
      <x:c r="N10" s="70"/>
      <x:c r="O10" s="70"/>
      <x:c r="P10" s="28"/>
      <x:c r="Q10" s="70"/>
      <x:c r="R10" s="28"/>
      <x:c r="S10" s="28"/>
      <x:c r="T10" s="60" t="str">
        <x:f>IF(COUNTA(A10:D10)+COUNTA(G10:S10)=0,"",IF(OR(A10="",B10="",C10="",D10="",G10="",H10="",J10="",R10=""),"缺少必填项",IF(COUNTIF($A$4:$A$203,A10)&gt;1,"全局队伍ID重复",IF(COUNTIF('学校信息'!$A$4:$A$53,B10)=0,"学校ID不存在",IF(COUNTIFS($B$4:$B$203,B10,$G$4:$G$203,G10,$R$4:$R$203,"启用")&gt;1,"同校Hydro UID重复","通过")))))</x:f>
      </x:c>
    </x:row>
    <x:row r="11" ht="22" customHeight="1">
      <x:c r="A11" s="70"/>
      <x:c r="B11" s="70"/>
      <x:c r="C11" s="70"/>
      <x:c r="D11" s="70"/>
      <x:c r="E11" s="71" t="str">
        <x:f>IFERROR(INDEX('学校信息'!$F$4:$F$53,MATCH(B11,'学校信息'!$A$4:$A$53,0)),"")</x:f>
      </x:c>
      <x:c r="F11" s="71" t="str">
        <x:f>IFERROR(INDEX('学校信息'!$G$4:$G$53,MATCH(B11,'学校信息'!$A$4:$A$53,0)),"")</x:f>
      </x:c>
      <x:c r="G11" s="75"/>
      <x:c r="H11" s="70"/>
      <x:c r="I11" s="70"/>
      <x:c r="J11" s="28"/>
      <x:c r="K11" s="70"/>
      <x:c r="L11" s="70"/>
      <x:c r="M11" s="70"/>
      <x:c r="N11" s="70"/>
      <x:c r="O11" s="70"/>
      <x:c r="P11" s="28"/>
      <x:c r="Q11" s="70"/>
      <x:c r="R11" s="28"/>
      <x:c r="S11" s="28"/>
      <x:c r="T11" s="60" t="str">
        <x:f>IF(COUNTA(A11:D11)+COUNTA(G11:S11)=0,"",IF(OR(A11="",B11="",C11="",D11="",G11="",H11="",J11="",R11=""),"缺少必填项",IF(COUNTIF($A$4:$A$203,A11)&gt;1,"全局队伍ID重复",IF(COUNTIF('学校信息'!$A$4:$A$53,B11)=0,"学校ID不存在",IF(COUNTIFS($B$4:$B$203,B11,$G$4:$G$203,G11,$R$4:$R$203,"启用")&gt;1,"同校Hydro UID重复","通过")))))</x:f>
      </x:c>
    </x:row>
    <x:row r="12" ht="22" customHeight="1">
      <x:c r="A12" s="70"/>
      <x:c r="B12" s="70"/>
      <x:c r="C12" s="70"/>
      <x:c r="D12" s="70"/>
      <x:c r="E12" s="71" t="str">
        <x:f>IFERROR(INDEX('学校信息'!$F$4:$F$53,MATCH(B12,'学校信息'!$A$4:$A$53,0)),"")</x:f>
      </x:c>
      <x:c r="F12" s="71" t="str">
        <x:f>IFERROR(INDEX('学校信息'!$G$4:$G$53,MATCH(B12,'学校信息'!$A$4:$A$53,0)),"")</x:f>
      </x:c>
      <x:c r="G12" s="75"/>
      <x:c r="H12" s="70"/>
      <x:c r="I12" s="70"/>
      <x:c r="J12" s="28"/>
      <x:c r="K12" s="70"/>
      <x:c r="L12" s="70"/>
      <x:c r="M12" s="70"/>
      <x:c r="N12" s="70"/>
      <x:c r="O12" s="70"/>
      <x:c r="P12" s="28"/>
      <x:c r="Q12" s="70"/>
      <x:c r="R12" s="28"/>
      <x:c r="S12" s="28"/>
      <x:c r="T12" s="60" t="str">
        <x:f>IF(COUNTA(A12:D12)+COUNTA(G12:S12)=0,"",IF(OR(A12="",B12="",C12="",D12="",G12="",H12="",J12="",R12=""),"缺少必填项",IF(COUNTIF($A$4:$A$203,A12)&gt;1,"全局队伍ID重复",IF(COUNTIF('学校信息'!$A$4:$A$53,B12)=0,"学校ID不存在",IF(COUNTIFS($B$4:$B$203,B12,$G$4:$G$203,G12,$R$4:$R$203,"启用")&gt;1,"同校Hydro UID重复","通过")))))</x:f>
      </x:c>
    </x:row>
    <x:row r="13" ht="22" customHeight="1">
      <x:c r="A13" s="70"/>
      <x:c r="B13" s="70"/>
      <x:c r="C13" s="70"/>
      <x:c r="D13" s="70"/>
      <x:c r="E13" s="71" t="str">
        <x:f>IFERROR(INDEX('学校信息'!$F$4:$F$53,MATCH(B13,'学校信息'!$A$4:$A$53,0)),"")</x:f>
      </x:c>
      <x:c r="F13" s="71" t="str">
        <x:f>IFERROR(INDEX('学校信息'!$G$4:$G$53,MATCH(B13,'学校信息'!$A$4:$A$53,0)),"")</x:f>
      </x:c>
      <x:c r="G13" s="75"/>
      <x:c r="H13" s="70"/>
      <x:c r="I13" s="70"/>
      <x:c r="J13" s="28"/>
      <x:c r="K13" s="70"/>
      <x:c r="L13" s="70"/>
      <x:c r="M13" s="70"/>
      <x:c r="N13" s="70"/>
      <x:c r="O13" s="70"/>
      <x:c r="P13" s="28"/>
      <x:c r="Q13" s="70"/>
      <x:c r="R13" s="28"/>
      <x:c r="S13" s="28"/>
      <x:c r="T13" s="60" t="str">
        <x:f>IF(COUNTA(A13:D13)+COUNTA(G13:S13)=0,"",IF(OR(A13="",B13="",C13="",D13="",G13="",H13="",J13="",R13=""),"缺少必填项",IF(COUNTIF($A$4:$A$203,A13)&gt;1,"全局队伍ID重复",IF(COUNTIF('学校信息'!$A$4:$A$53,B13)=0,"学校ID不存在",IF(COUNTIFS($B$4:$B$203,B13,$G$4:$G$203,G13,$R$4:$R$203,"启用")&gt;1,"同校Hydro UID重复","通过")))))</x:f>
      </x:c>
    </x:row>
    <x:row r="14" ht="22" customHeight="1">
      <x:c r="A14" s="70"/>
      <x:c r="B14" s="70"/>
      <x:c r="C14" s="70"/>
      <x:c r="D14" s="70"/>
      <x:c r="E14" s="71" t="str">
        <x:f>IFERROR(INDEX('学校信息'!$F$4:$F$53,MATCH(B14,'学校信息'!$A$4:$A$53,0)),"")</x:f>
      </x:c>
      <x:c r="F14" s="71" t="str">
        <x:f>IFERROR(INDEX('学校信息'!$G$4:$G$53,MATCH(B14,'学校信息'!$A$4:$A$53,0)),"")</x:f>
      </x:c>
      <x:c r="G14" s="75"/>
      <x:c r="H14" s="70"/>
      <x:c r="I14" s="70"/>
      <x:c r="J14" s="28"/>
      <x:c r="K14" s="70"/>
      <x:c r="L14" s="70"/>
      <x:c r="M14" s="70"/>
      <x:c r="N14" s="70"/>
      <x:c r="O14" s="70"/>
      <x:c r="P14" s="28"/>
      <x:c r="Q14" s="70"/>
      <x:c r="R14" s="28"/>
      <x:c r="S14" s="28"/>
      <x:c r="T14" s="60" t="str">
        <x:f>IF(COUNTA(A14:D14)+COUNTA(G14:S14)=0,"",IF(OR(A14="",B14="",C14="",D14="",G14="",H14="",J14="",R14=""),"缺少必填项",IF(COUNTIF($A$4:$A$203,A14)&gt;1,"全局队伍ID重复",IF(COUNTIF('学校信息'!$A$4:$A$53,B14)=0,"学校ID不存在",IF(COUNTIFS($B$4:$B$203,B14,$G$4:$G$203,G14,$R$4:$R$203,"启用")&gt;1,"同校Hydro UID重复","通过")))))</x:f>
      </x:c>
    </x:row>
    <x:row r="15" ht="22" customHeight="1">
      <x:c r="A15" s="70"/>
      <x:c r="B15" s="70"/>
      <x:c r="C15" s="70"/>
      <x:c r="D15" s="70"/>
      <x:c r="E15" s="71" t="str">
        <x:f>IFERROR(INDEX('学校信息'!$F$4:$F$53,MATCH(B15,'学校信息'!$A$4:$A$53,0)),"")</x:f>
      </x:c>
      <x:c r="F15" s="71" t="str">
        <x:f>IFERROR(INDEX('学校信息'!$G$4:$G$53,MATCH(B15,'学校信息'!$A$4:$A$53,0)),"")</x:f>
      </x:c>
      <x:c r="G15" s="75"/>
      <x:c r="H15" s="70"/>
      <x:c r="I15" s="70"/>
      <x:c r="J15" s="28"/>
      <x:c r="K15" s="70"/>
      <x:c r="L15" s="70"/>
      <x:c r="M15" s="70"/>
      <x:c r="N15" s="70"/>
      <x:c r="O15" s="70"/>
      <x:c r="P15" s="28"/>
      <x:c r="Q15" s="70"/>
      <x:c r="R15" s="28"/>
      <x:c r="S15" s="28"/>
      <x:c r="T15" s="60" t="str">
        <x:f>IF(COUNTA(A15:D15)+COUNTA(G15:S15)=0,"",IF(OR(A15="",B15="",C15="",D15="",G15="",H15="",J15="",R15=""),"缺少必填项",IF(COUNTIF($A$4:$A$203,A15)&gt;1,"全局队伍ID重复",IF(COUNTIF('学校信息'!$A$4:$A$53,B15)=0,"学校ID不存在",IF(COUNTIFS($B$4:$B$203,B15,$G$4:$G$203,G15,$R$4:$R$203,"启用")&gt;1,"同校Hydro UID重复","通过")))))</x:f>
      </x:c>
    </x:row>
    <x:row r="16" ht="22" customHeight="1">
      <x:c r="A16" s="70"/>
      <x:c r="B16" s="70"/>
      <x:c r="C16" s="70"/>
      <x:c r="D16" s="70"/>
      <x:c r="E16" s="71" t="str">
        <x:f>IFERROR(INDEX('学校信息'!$F$4:$F$53,MATCH(B16,'学校信息'!$A$4:$A$53,0)),"")</x:f>
      </x:c>
      <x:c r="F16" s="71" t="str">
        <x:f>IFERROR(INDEX('学校信息'!$G$4:$G$53,MATCH(B16,'学校信息'!$A$4:$A$53,0)),"")</x:f>
      </x:c>
      <x:c r="G16" s="75"/>
      <x:c r="H16" s="70"/>
      <x:c r="I16" s="70"/>
      <x:c r="J16" s="28"/>
      <x:c r="K16" s="70"/>
      <x:c r="L16" s="70"/>
      <x:c r="M16" s="70"/>
      <x:c r="N16" s="70"/>
      <x:c r="O16" s="70"/>
      <x:c r="P16" s="28"/>
      <x:c r="Q16" s="70"/>
      <x:c r="R16" s="28"/>
      <x:c r="S16" s="28"/>
      <x:c r="T16" s="60" t="str">
        <x:f>IF(COUNTA(A16:D16)+COUNTA(G16:S16)=0,"",IF(OR(A16="",B16="",C16="",D16="",G16="",H16="",J16="",R16=""),"缺少必填项",IF(COUNTIF($A$4:$A$203,A16)&gt;1,"全局队伍ID重复",IF(COUNTIF('学校信息'!$A$4:$A$53,B16)=0,"学校ID不存在",IF(COUNTIFS($B$4:$B$203,B16,$G$4:$G$203,G16,$R$4:$R$203,"启用")&gt;1,"同校Hydro UID重复","通过")))))</x:f>
      </x:c>
    </x:row>
    <x:row r="17" ht="22" customHeight="1">
      <x:c r="A17" s="70"/>
      <x:c r="B17" s="70"/>
      <x:c r="C17" s="70"/>
      <x:c r="D17" s="70"/>
      <x:c r="E17" s="71" t="str">
        <x:f>IFERROR(INDEX('学校信息'!$F$4:$F$53,MATCH(B17,'学校信息'!$A$4:$A$53,0)),"")</x:f>
      </x:c>
      <x:c r="F17" s="71" t="str">
        <x:f>IFERROR(INDEX('学校信息'!$G$4:$G$53,MATCH(B17,'学校信息'!$A$4:$A$53,0)),"")</x:f>
      </x:c>
      <x:c r="G17" s="75"/>
      <x:c r="H17" s="70"/>
      <x:c r="I17" s="70"/>
      <x:c r="J17" s="28"/>
      <x:c r="K17" s="70"/>
      <x:c r="L17" s="70"/>
      <x:c r="M17" s="70"/>
      <x:c r="N17" s="70"/>
      <x:c r="O17" s="70"/>
      <x:c r="P17" s="28"/>
      <x:c r="Q17" s="70"/>
      <x:c r="R17" s="28"/>
      <x:c r="S17" s="28"/>
      <x:c r="T17" s="60" t="str">
        <x:f>IF(COUNTA(A17:D17)+COUNTA(G17:S17)=0,"",IF(OR(A17="",B17="",C17="",D17="",G17="",H17="",J17="",R17=""),"缺少必填项",IF(COUNTIF($A$4:$A$203,A17)&gt;1,"全局队伍ID重复",IF(COUNTIF('学校信息'!$A$4:$A$53,B17)=0,"学校ID不存在",IF(COUNTIFS($B$4:$B$203,B17,$G$4:$G$203,G17,$R$4:$R$203,"启用")&gt;1,"同校Hydro UID重复","通过")))))</x:f>
      </x:c>
    </x:row>
    <x:row r="18" ht="22" customHeight="1">
      <x:c r="A18" s="70"/>
      <x:c r="B18" s="70"/>
      <x:c r="C18" s="70"/>
      <x:c r="D18" s="70"/>
      <x:c r="E18" s="71" t="str">
        <x:f>IFERROR(INDEX('学校信息'!$F$4:$F$53,MATCH(B18,'学校信息'!$A$4:$A$53,0)),"")</x:f>
      </x:c>
      <x:c r="F18" s="71" t="str">
        <x:f>IFERROR(INDEX('学校信息'!$G$4:$G$53,MATCH(B18,'学校信息'!$A$4:$A$53,0)),"")</x:f>
      </x:c>
      <x:c r="G18" s="75"/>
      <x:c r="H18" s="70"/>
      <x:c r="I18" s="70"/>
      <x:c r="J18" s="28"/>
      <x:c r="K18" s="70"/>
      <x:c r="L18" s="70"/>
      <x:c r="M18" s="70"/>
      <x:c r="N18" s="70"/>
      <x:c r="O18" s="70"/>
      <x:c r="P18" s="28"/>
      <x:c r="Q18" s="70"/>
      <x:c r="R18" s="28"/>
      <x:c r="S18" s="28"/>
      <x:c r="T18" s="60" t="str">
        <x:f>IF(COUNTA(A18:D18)+COUNTA(G18:S18)=0,"",IF(OR(A18="",B18="",C18="",D18="",G18="",H18="",J18="",R18=""),"缺少必填项",IF(COUNTIF($A$4:$A$203,A18)&gt;1,"全局队伍ID重复",IF(COUNTIF('学校信息'!$A$4:$A$53,B18)=0,"学校ID不存在",IF(COUNTIFS($B$4:$B$203,B18,$G$4:$G$203,G18,$R$4:$R$203,"启用")&gt;1,"同校Hydro UID重复","通过")))))</x:f>
      </x:c>
    </x:row>
    <x:row r="19" ht="22" customHeight="1">
      <x:c r="A19" s="70"/>
      <x:c r="B19" s="70"/>
      <x:c r="C19" s="70"/>
      <x:c r="D19" s="70"/>
      <x:c r="E19" s="71" t="str">
        <x:f>IFERROR(INDEX('学校信息'!$F$4:$F$53,MATCH(B19,'学校信息'!$A$4:$A$53,0)),"")</x:f>
      </x:c>
      <x:c r="F19" s="71" t="str">
        <x:f>IFERROR(INDEX('学校信息'!$G$4:$G$53,MATCH(B19,'学校信息'!$A$4:$A$53,0)),"")</x:f>
      </x:c>
      <x:c r="G19" s="75"/>
      <x:c r="H19" s="70"/>
      <x:c r="I19" s="70"/>
      <x:c r="J19" s="28"/>
      <x:c r="K19" s="70"/>
      <x:c r="L19" s="70"/>
      <x:c r="M19" s="70"/>
      <x:c r="N19" s="70"/>
      <x:c r="O19" s="70"/>
      <x:c r="P19" s="28"/>
      <x:c r="Q19" s="70"/>
      <x:c r="R19" s="28"/>
      <x:c r="S19" s="28"/>
      <x:c r="T19" s="60" t="str">
        <x:f>IF(COUNTA(A19:D19)+COUNTA(G19:S19)=0,"",IF(OR(A19="",B19="",C19="",D19="",G19="",H19="",J19="",R19=""),"缺少必填项",IF(COUNTIF($A$4:$A$203,A19)&gt;1,"全局队伍ID重复",IF(COUNTIF('学校信息'!$A$4:$A$53,B19)=0,"学校ID不存在",IF(COUNTIFS($B$4:$B$203,B19,$G$4:$G$203,G19,$R$4:$R$203,"启用")&gt;1,"同校Hydro UID重复","通过")))))</x:f>
      </x:c>
    </x:row>
    <x:row r="20" ht="22" customHeight="1">
      <x:c r="A20" s="70"/>
      <x:c r="B20" s="70"/>
      <x:c r="C20" s="70"/>
      <x:c r="D20" s="70"/>
      <x:c r="E20" s="71" t="str">
        <x:f>IFERROR(INDEX('学校信息'!$F$4:$F$53,MATCH(B20,'学校信息'!$A$4:$A$53,0)),"")</x:f>
      </x:c>
      <x:c r="F20" s="71" t="str">
        <x:f>IFERROR(INDEX('学校信息'!$G$4:$G$53,MATCH(B20,'学校信息'!$A$4:$A$53,0)),"")</x:f>
      </x:c>
      <x:c r="G20" s="75"/>
      <x:c r="H20" s="70"/>
      <x:c r="I20" s="70"/>
      <x:c r="J20" s="28"/>
      <x:c r="K20" s="70"/>
      <x:c r="L20" s="70"/>
      <x:c r="M20" s="70"/>
      <x:c r="N20" s="70"/>
      <x:c r="O20" s="70"/>
      <x:c r="P20" s="28"/>
      <x:c r="Q20" s="70"/>
      <x:c r="R20" s="28"/>
      <x:c r="S20" s="28"/>
      <x:c r="T20" s="60" t="str">
        <x:f>IF(COUNTA(A20:D20)+COUNTA(G20:S20)=0,"",IF(OR(A20="",B20="",C20="",D20="",G20="",H20="",J20="",R20=""),"缺少必填项",IF(COUNTIF($A$4:$A$203,A20)&gt;1,"全局队伍ID重复",IF(COUNTIF('学校信息'!$A$4:$A$53,B20)=0,"学校ID不存在",IF(COUNTIFS($B$4:$B$203,B20,$G$4:$G$203,G20,$R$4:$R$203,"启用")&gt;1,"同校Hydro UID重复","通过")))))</x:f>
      </x:c>
    </x:row>
    <x:row r="21" ht="22" customHeight="1">
      <x:c r="A21" s="70"/>
      <x:c r="B21" s="70"/>
      <x:c r="C21" s="70"/>
      <x:c r="D21" s="70"/>
      <x:c r="E21" s="71" t="str">
        <x:f>IFERROR(INDEX('学校信息'!$F$4:$F$53,MATCH(B21,'学校信息'!$A$4:$A$53,0)),"")</x:f>
      </x:c>
      <x:c r="F21" s="71" t="str">
        <x:f>IFERROR(INDEX('学校信息'!$G$4:$G$53,MATCH(B21,'学校信息'!$A$4:$A$53,0)),"")</x:f>
      </x:c>
      <x:c r="G21" s="75"/>
      <x:c r="H21" s="70"/>
      <x:c r="I21" s="70"/>
      <x:c r="J21" s="28"/>
      <x:c r="K21" s="70"/>
      <x:c r="L21" s="70"/>
      <x:c r="M21" s="70"/>
      <x:c r="N21" s="70"/>
      <x:c r="O21" s="70"/>
      <x:c r="P21" s="28"/>
      <x:c r="Q21" s="70"/>
      <x:c r="R21" s="28"/>
      <x:c r="S21" s="28"/>
      <x:c r="T21" s="60" t="str">
        <x:f>IF(COUNTA(A21:D21)+COUNTA(G21:S21)=0,"",IF(OR(A21="",B21="",C21="",D21="",G21="",H21="",J21="",R21=""),"缺少必填项",IF(COUNTIF($A$4:$A$203,A21)&gt;1,"全局队伍ID重复",IF(COUNTIF('学校信息'!$A$4:$A$53,B21)=0,"学校ID不存在",IF(COUNTIFS($B$4:$B$203,B21,$G$4:$G$203,G21,$R$4:$R$203,"启用")&gt;1,"同校Hydro UID重复","通过")))))</x:f>
      </x:c>
    </x:row>
    <x:row r="22" ht="22" customHeight="1">
      <x:c r="A22" s="70"/>
      <x:c r="B22" s="70"/>
      <x:c r="C22" s="70"/>
      <x:c r="D22" s="70"/>
      <x:c r="E22" s="71" t="str">
        <x:f>IFERROR(INDEX('学校信息'!$F$4:$F$53,MATCH(B22,'学校信息'!$A$4:$A$53,0)),"")</x:f>
      </x:c>
      <x:c r="F22" s="71" t="str">
        <x:f>IFERROR(INDEX('学校信息'!$G$4:$G$53,MATCH(B22,'学校信息'!$A$4:$A$53,0)),"")</x:f>
      </x:c>
      <x:c r="G22" s="75"/>
      <x:c r="H22" s="70"/>
      <x:c r="I22" s="70"/>
      <x:c r="J22" s="28"/>
      <x:c r="K22" s="70"/>
      <x:c r="L22" s="70"/>
      <x:c r="M22" s="70"/>
      <x:c r="N22" s="70"/>
      <x:c r="O22" s="70"/>
      <x:c r="P22" s="28"/>
      <x:c r="Q22" s="70"/>
      <x:c r="R22" s="28"/>
      <x:c r="S22" s="28"/>
      <x:c r="T22" s="60" t="str">
        <x:f>IF(COUNTA(A22:D22)+COUNTA(G22:S22)=0,"",IF(OR(A22="",B22="",C22="",D22="",G22="",H22="",J22="",R22=""),"缺少必填项",IF(COUNTIF($A$4:$A$203,A22)&gt;1,"全局队伍ID重复",IF(COUNTIF('学校信息'!$A$4:$A$53,B22)=0,"学校ID不存在",IF(COUNTIFS($B$4:$B$203,B22,$G$4:$G$203,G22,$R$4:$R$203,"启用")&gt;1,"同校Hydro UID重复","通过")))))</x:f>
      </x:c>
    </x:row>
    <x:row r="23" ht="22" customHeight="1">
      <x:c r="A23" s="70"/>
      <x:c r="B23" s="70"/>
      <x:c r="C23" s="70"/>
      <x:c r="D23" s="70"/>
      <x:c r="E23" s="71" t="str">
        <x:f>IFERROR(INDEX('学校信息'!$F$4:$F$53,MATCH(B23,'学校信息'!$A$4:$A$53,0)),"")</x:f>
      </x:c>
      <x:c r="F23" s="71" t="str">
        <x:f>IFERROR(INDEX('学校信息'!$G$4:$G$53,MATCH(B23,'学校信息'!$A$4:$A$53,0)),"")</x:f>
      </x:c>
      <x:c r="G23" s="75"/>
      <x:c r="H23" s="70"/>
      <x:c r="I23" s="70"/>
      <x:c r="J23" s="28"/>
      <x:c r="K23" s="70"/>
      <x:c r="L23" s="70"/>
      <x:c r="M23" s="70"/>
      <x:c r="N23" s="70"/>
      <x:c r="O23" s="70"/>
      <x:c r="P23" s="28"/>
      <x:c r="Q23" s="70"/>
      <x:c r="R23" s="28"/>
      <x:c r="S23" s="28"/>
      <x:c r="T23" s="60" t="str">
        <x:f>IF(COUNTA(A23:D23)+COUNTA(G23:S23)=0,"",IF(OR(A23="",B23="",C23="",D23="",G23="",H23="",J23="",R23=""),"缺少必填项",IF(COUNTIF($A$4:$A$203,A23)&gt;1,"全局队伍ID重复",IF(COUNTIF('学校信息'!$A$4:$A$53,B23)=0,"学校ID不存在",IF(COUNTIFS($B$4:$B$203,B23,$G$4:$G$203,G23,$R$4:$R$203,"启用")&gt;1,"同校Hydro UID重复","通过")))))</x:f>
      </x:c>
    </x:row>
    <x:row r="24" ht="22" customHeight="1">
      <x:c r="A24" s="70"/>
      <x:c r="B24" s="70"/>
      <x:c r="C24" s="70"/>
      <x:c r="D24" s="70"/>
      <x:c r="E24" s="71" t="str">
        <x:f>IFERROR(INDEX('学校信息'!$F$4:$F$53,MATCH(B24,'学校信息'!$A$4:$A$53,0)),"")</x:f>
      </x:c>
      <x:c r="F24" s="71" t="str">
        <x:f>IFERROR(INDEX('学校信息'!$G$4:$G$53,MATCH(B24,'学校信息'!$A$4:$A$53,0)),"")</x:f>
      </x:c>
      <x:c r="G24" s="75"/>
      <x:c r="H24" s="70"/>
      <x:c r="I24" s="70"/>
      <x:c r="J24" s="28"/>
      <x:c r="K24" s="70"/>
      <x:c r="L24" s="70"/>
      <x:c r="M24" s="70"/>
      <x:c r="N24" s="70"/>
      <x:c r="O24" s="70"/>
      <x:c r="P24" s="28"/>
      <x:c r="Q24" s="70"/>
      <x:c r="R24" s="28"/>
      <x:c r="S24" s="28"/>
      <x:c r="T24" s="60" t="str">
        <x:f>IF(COUNTA(A24:D24)+COUNTA(G24:S24)=0,"",IF(OR(A24="",B24="",C24="",D24="",G24="",H24="",J24="",R24=""),"缺少必填项",IF(COUNTIF($A$4:$A$203,A24)&gt;1,"全局队伍ID重复",IF(COUNTIF('学校信息'!$A$4:$A$53,B24)=0,"学校ID不存在",IF(COUNTIFS($B$4:$B$203,B24,$G$4:$G$203,G24,$R$4:$R$203,"启用")&gt;1,"同校Hydro UID重复","通过")))))</x:f>
      </x:c>
    </x:row>
    <x:row r="25" ht="22" customHeight="1">
      <x:c r="A25" s="70"/>
      <x:c r="B25" s="70"/>
      <x:c r="C25" s="70"/>
      <x:c r="D25" s="70"/>
      <x:c r="E25" s="71" t="str">
        <x:f>IFERROR(INDEX('学校信息'!$F$4:$F$53,MATCH(B25,'学校信息'!$A$4:$A$53,0)),"")</x:f>
      </x:c>
      <x:c r="F25" s="71" t="str">
        <x:f>IFERROR(INDEX('学校信息'!$G$4:$G$53,MATCH(B25,'学校信息'!$A$4:$A$53,0)),"")</x:f>
      </x:c>
      <x:c r="G25" s="75"/>
      <x:c r="H25" s="70"/>
      <x:c r="I25" s="70"/>
      <x:c r="J25" s="28"/>
      <x:c r="K25" s="70"/>
      <x:c r="L25" s="70"/>
      <x:c r="M25" s="70"/>
      <x:c r="N25" s="70"/>
      <x:c r="O25" s="70"/>
      <x:c r="P25" s="28"/>
      <x:c r="Q25" s="70"/>
      <x:c r="R25" s="28"/>
      <x:c r="S25" s="28"/>
      <x:c r="T25" s="60" t="str">
        <x:f>IF(COUNTA(A25:D25)+COUNTA(G25:S25)=0,"",IF(OR(A25="",B25="",C25="",D25="",G25="",H25="",J25="",R25=""),"缺少必填项",IF(COUNTIF($A$4:$A$203,A25)&gt;1,"全局队伍ID重复",IF(COUNTIF('学校信息'!$A$4:$A$53,B25)=0,"学校ID不存在",IF(COUNTIFS($B$4:$B$203,B25,$G$4:$G$203,G25,$R$4:$R$203,"启用")&gt;1,"同校Hydro UID重复","通过")))))</x:f>
      </x:c>
    </x:row>
    <x:row r="26" ht="22" customHeight="1">
      <x:c r="A26" s="70"/>
      <x:c r="B26" s="70"/>
      <x:c r="C26" s="70"/>
      <x:c r="D26" s="70"/>
      <x:c r="E26" s="71" t="str">
        <x:f>IFERROR(INDEX('学校信息'!$F$4:$F$53,MATCH(B26,'学校信息'!$A$4:$A$53,0)),"")</x:f>
      </x:c>
      <x:c r="F26" s="71" t="str">
        <x:f>IFERROR(INDEX('学校信息'!$G$4:$G$53,MATCH(B26,'学校信息'!$A$4:$A$53,0)),"")</x:f>
      </x:c>
      <x:c r="G26" s="75"/>
      <x:c r="H26" s="70"/>
      <x:c r="I26" s="70"/>
      <x:c r="J26" s="28"/>
      <x:c r="K26" s="70"/>
      <x:c r="L26" s="70"/>
      <x:c r="M26" s="70"/>
      <x:c r="N26" s="70"/>
      <x:c r="O26" s="70"/>
      <x:c r="P26" s="28"/>
      <x:c r="Q26" s="70"/>
      <x:c r="R26" s="28"/>
      <x:c r="S26" s="28"/>
      <x:c r="T26" s="60" t="str">
        <x:f>IF(COUNTA(A26:D26)+COUNTA(G26:S26)=0,"",IF(OR(A26="",B26="",C26="",D26="",G26="",H26="",J26="",R26=""),"缺少必填项",IF(COUNTIF($A$4:$A$203,A26)&gt;1,"全局队伍ID重复",IF(COUNTIF('学校信息'!$A$4:$A$53,B26)=0,"学校ID不存在",IF(COUNTIFS($B$4:$B$203,B26,$G$4:$G$203,G26,$R$4:$R$203,"启用")&gt;1,"同校Hydro UID重复","通过")))))</x:f>
      </x:c>
    </x:row>
    <x:row r="27" ht="22" customHeight="1">
      <x:c r="A27" s="70"/>
      <x:c r="B27" s="70"/>
      <x:c r="C27" s="70"/>
      <x:c r="D27" s="70"/>
      <x:c r="E27" s="71" t="str">
        <x:f>IFERROR(INDEX('学校信息'!$F$4:$F$53,MATCH(B27,'学校信息'!$A$4:$A$53,0)),"")</x:f>
      </x:c>
      <x:c r="F27" s="71" t="str">
        <x:f>IFERROR(INDEX('学校信息'!$G$4:$G$53,MATCH(B27,'学校信息'!$A$4:$A$53,0)),"")</x:f>
      </x:c>
      <x:c r="G27" s="75"/>
      <x:c r="H27" s="70"/>
      <x:c r="I27" s="70"/>
      <x:c r="J27" s="28"/>
      <x:c r="K27" s="70"/>
      <x:c r="L27" s="70"/>
      <x:c r="M27" s="70"/>
      <x:c r="N27" s="70"/>
      <x:c r="O27" s="70"/>
      <x:c r="P27" s="28"/>
      <x:c r="Q27" s="70"/>
      <x:c r="R27" s="28"/>
      <x:c r="S27" s="28"/>
      <x:c r="T27" s="60" t="str">
        <x:f>IF(COUNTA(A27:D27)+COUNTA(G27:S27)=0,"",IF(OR(A27="",B27="",C27="",D27="",G27="",H27="",J27="",R27=""),"缺少必填项",IF(COUNTIF($A$4:$A$203,A27)&gt;1,"全局队伍ID重复",IF(COUNTIF('学校信息'!$A$4:$A$53,B27)=0,"学校ID不存在",IF(COUNTIFS($B$4:$B$203,B27,$G$4:$G$203,G27,$R$4:$R$203,"启用")&gt;1,"同校Hydro UID重复","通过")))))</x:f>
      </x:c>
    </x:row>
    <x:row r="28" ht="22" customHeight="1">
      <x:c r="A28" s="70"/>
      <x:c r="B28" s="70"/>
      <x:c r="C28" s="70"/>
      <x:c r="D28" s="70"/>
      <x:c r="E28" s="71" t="str">
        <x:f>IFERROR(INDEX('学校信息'!$F$4:$F$53,MATCH(B28,'学校信息'!$A$4:$A$53,0)),"")</x:f>
      </x:c>
      <x:c r="F28" s="71" t="str">
        <x:f>IFERROR(INDEX('学校信息'!$G$4:$G$53,MATCH(B28,'学校信息'!$A$4:$A$53,0)),"")</x:f>
      </x:c>
      <x:c r="G28" s="75"/>
      <x:c r="H28" s="70"/>
      <x:c r="I28" s="70"/>
      <x:c r="J28" s="28"/>
      <x:c r="K28" s="70"/>
      <x:c r="L28" s="70"/>
      <x:c r="M28" s="70"/>
      <x:c r="N28" s="70"/>
      <x:c r="O28" s="70"/>
      <x:c r="P28" s="28"/>
      <x:c r="Q28" s="70"/>
      <x:c r="R28" s="28"/>
      <x:c r="S28" s="28"/>
      <x:c r="T28" s="60" t="str">
        <x:f>IF(COUNTA(A28:D28)+COUNTA(G28:S28)=0,"",IF(OR(A28="",B28="",C28="",D28="",G28="",H28="",J28="",R28=""),"缺少必填项",IF(COUNTIF($A$4:$A$203,A28)&gt;1,"全局队伍ID重复",IF(COUNTIF('学校信息'!$A$4:$A$53,B28)=0,"学校ID不存在",IF(COUNTIFS($B$4:$B$203,B28,$G$4:$G$203,G28,$R$4:$R$203,"启用")&gt;1,"同校Hydro UID重复","通过")))))</x:f>
      </x:c>
    </x:row>
    <x:row r="29" ht="22" customHeight="1">
      <x:c r="A29" s="70"/>
      <x:c r="B29" s="70"/>
      <x:c r="C29" s="70"/>
      <x:c r="D29" s="70"/>
      <x:c r="E29" s="71" t="str">
        <x:f>IFERROR(INDEX('学校信息'!$F$4:$F$53,MATCH(B29,'学校信息'!$A$4:$A$53,0)),"")</x:f>
      </x:c>
      <x:c r="F29" s="71" t="str">
        <x:f>IFERROR(INDEX('学校信息'!$G$4:$G$53,MATCH(B29,'学校信息'!$A$4:$A$53,0)),"")</x:f>
      </x:c>
      <x:c r="G29" s="75"/>
      <x:c r="H29" s="70"/>
      <x:c r="I29" s="70"/>
      <x:c r="J29" s="28"/>
      <x:c r="K29" s="70"/>
      <x:c r="L29" s="70"/>
      <x:c r="M29" s="70"/>
      <x:c r="N29" s="70"/>
      <x:c r="O29" s="70"/>
      <x:c r="P29" s="28"/>
      <x:c r="Q29" s="70"/>
      <x:c r="R29" s="28"/>
      <x:c r="S29" s="28"/>
      <x:c r="T29" s="60" t="str">
        <x:f>IF(COUNTA(A29:D29)+COUNTA(G29:S29)=0,"",IF(OR(A29="",B29="",C29="",D29="",G29="",H29="",J29="",R29=""),"缺少必填项",IF(COUNTIF($A$4:$A$203,A29)&gt;1,"全局队伍ID重复",IF(COUNTIF('学校信息'!$A$4:$A$53,B29)=0,"学校ID不存在",IF(COUNTIFS($B$4:$B$203,B29,$G$4:$G$203,G29,$R$4:$R$203,"启用")&gt;1,"同校Hydro UID重复","通过")))))</x:f>
      </x:c>
    </x:row>
    <x:row r="30" ht="22" customHeight="1">
      <x:c r="A30" s="70"/>
      <x:c r="B30" s="70"/>
      <x:c r="C30" s="70"/>
      <x:c r="D30" s="70"/>
      <x:c r="E30" s="71" t="str">
        <x:f>IFERROR(INDEX('学校信息'!$F$4:$F$53,MATCH(B30,'学校信息'!$A$4:$A$53,0)),"")</x:f>
      </x:c>
      <x:c r="F30" s="71" t="str">
        <x:f>IFERROR(INDEX('学校信息'!$G$4:$G$53,MATCH(B30,'学校信息'!$A$4:$A$53,0)),"")</x:f>
      </x:c>
      <x:c r="G30" s="75"/>
      <x:c r="H30" s="70"/>
      <x:c r="I30" s="70"/>
      <x:c r="J30" s="28"/>
      <x:c r="K30" s="70"/>
      <x:c r="L30" s="70"/>
      <x:c r="M30" s="70"/>
      <x:c r="N30" s="70"/>
      <x:c r="O30" s="70"/>
      <x:c r="P30" s="28"/>
      <x:c r="Q30" s="70"/>
      <x:c r="R30" s="28"/>
      <x:c r="S30" s="28"/>
      <x:c r="T30" s="60" t="str">
        <x:f>IF(COUNTA(A30:D30)+COUNTA(G30:S30)=0,"",IF(OR(A30="",B30="",C30="",D30="",G30="",H30="",J30="",R30=""),"缺少必填项",IF(COUNTIF($A$4:$A$203,A30)&gt;1,"全局队伍ID重复",IF(COUNTIF('学校信息'!$A$4:$A$53,B30)=0,"学校ID不存在",IF(COUNTIFS($B$4:$B$203,B30,$G$4:$G$203,G30,$R$4:$R$203,"启用")&gt;1,"同校Hydro UID重复","通过")))))</x:f>
      </x:c>
    </x:row>
    <x:row r="31" ht="22" customHeight="1">
      <x:c r="A31" s="70"/>
      <x:c r="B31" s="70"/>
      <x:c r="C31" s="70"/>
      <x:c r="D31" s="70"/>
      <x:c r="E31" s="71" t="str">
        <x:f>IFERROR(INDEX('学校信息'!$F$4:$F$53,MATCH(B31,'学校信息'!$A$4:$A$53,0)),"")</x:f>
      </x:c>
      <x:c r="F31" s="71" t="str">
        <x:f>IFERROR(INDEX('学校信息'!$G$4:$G$53,MATCH(B31,'学校信息'!$A$4:$A$53,0)),"")</x:f>
      </x:c>
      <x:c r="G31" s="75"/>
      <x:c r="H31" s="70"/>
      <x:c r="I31" s="70"/>
      <x:c r="J31" s="28"/>
      <x:c r="K31" s="70"/>
      <x:c r="L31" s="70"/>
      <x:c r="M31" s="70"/>
      <x:c r="N31" s="70"/>
      <x:c r="O31" s="70"/>
      <x:c r="P31" s="28"/>
      <x:c r="Q31" s="70"/>
      <x:c r="R31" s="28"/>
      <x:c r="S31" s="28"/>
      <x:c r="T31" s="60" t="str">
        <x:f>IF(COUNTA(A31:D31)+COUNTA(G31:S31)=0,"",IF(OR(A31="",B31="",C31="",D31="",G31="",H31="",J31="",R31=""),"缺少必填项",IF(COUNTIF($A$4:$A$203,A31)&gt;1,"全局队伍ID重复",IF(COUNTIF('学校信息'!$A$4:$A$53,B31)=0,"学校ID不存在",IF(COUNTIFS($B$4:$B$203,B31,$G$4:$G$203,G31,$R$4:$R$203,"启用")&gt;1,"同校Hydro UID重复","通过")))))</x:f>
      </x:c>
    </x:row>
    <x:row r="32" ht="22" customHeight="1">
      <x:c r="A32" s="70"/>
      <x:c r="B32" s="70"/>
      <x:c r="C32" s="70"/>
      <x:c r="D32" s="70"/>
      <x:c r="E32" s="71" t="str">
        <x:f>IFERROR(INDEX('学校信息'!$F$4:$F$53,MATCH(B32,'学校信息'!$A$4:$A$53,0)),"")</x:f>
      </x:c>
      <x:c r="F32" s="71" t="str">
        <x:f>IFERROR(INDEX('学校信息'!$G$4:$G$53,MATCH(B32,'学校信息'!$A$4:$A$53,0)),"")</x:f>
      </x:c>
      <x:c r="G32" s="75"/>
      <x:c r="H32" s="70"/>
      <x:c r="I32" s="70"/>
      <x:c r="J32" s="28"/>
      <x:c r="K32" s="70"/>
      <x:c r="L32" s="70"/>
      <x:c r="M32" s="70"/>
      <x:c r="N32" s="70"/>
      <x:c r="O32" s="70"/>
      <x:c r="P32" s="28"/>
      <x:c r="Q32" s="70"/>
      <x:c r="R32" s="28"/>
      <x:c r="S32" s="28"/>
      <x:c r="T32" s="60" t="str">
        <x:f>IF(COUNTA(A32:D32)+COUNTA(G32:S32)=0,"",IF(OR(A32="",B32="",C32="",D32="",G32="",H32="",J32="",R32=""),"缺少必填项",IF(COUNTIF($A$4:$A$203,A32)&gt;1,"全局队伍ID重复",IF(COUNTIF('学校信息'!$A$4:$A$53,B32)=0,"学校ID不存在",IF(COUNTIFS($B$4:$B$203,B32,$G$4:$G$203,G32,$R$4:$R$203,"启用")&gt;1,"同校Hydro UID重复","通过")))))</x:f>
      </x:c>
    </x:row>
    <x:row r="33" ht="22" customHeight="1">
      <x:c r="A33" s="70"/>
      <x:c r="B33" s="70"/>
      <x:c r="C33" s="70"/>
      <x:c r="D33" s="70"/>
      <x:c r="E33" s="71" t="str">
        <x:f>IFERROR(INDEX('学校信息'!$F$4:$F$53,MATCH(B33,'学校信息'!$A$4:$A$53,0)),"")</x:f>
      </x:c>
      <x:c r="F33" s="71" t="str">
        <x:f>IFERROR(INDEX('学校信息'!$G$4:$G$53,MATCH(B33,'学校信息'!$A$4:$A$53,0)),"")</x:f>
      </x:c>
      <x:c r="G33" s="75"/>
      <x:c r="H33" s="70"/>
      <x:c r="I33" s="70"/>
      <x:c r="J33" s="28"/>
      <x:c r="K33" s="70"/>
      <x:c r="L33" s="70"/>
      <x:c r="M33" s="70"/>
      <x:c r="N33" s="70"/>
      <x:c r="O33" s="70"/>
      <x:c r="P33" s="28"/>
      <x:c r="Q33" s="70"/>
      <x:c r="R33" s="28"/>
      <x:c r="S33" s="28"/>
      <x:c r="T33" s="60" t="str">
        <x:f>IF(COUNTA(A33:D33)+COUNTA(G33:S33)=0,"",IF(OR(A33="",B33="",C33="",D33="",G33="",H33="",J33="",R33=""),"缺少必填项",IF(COUNTIF($A$4:$A$203,A33)&gt;1,"全局队伍ID重复",IF(COUNTIF('学校信息'!$A$4:$A$53,B33)=0,"学校ID不存在",IF(COUNTIFS($B$4:$B$203,B33,$G$4:$G$203,G33,$R$4:$R$203,"启用")&gt;1,"同校Hydro UID重复","通过")))))</x:f>
      </x:c>
    </x:row>
    <x:row r="34" ht="22" customHeight="1">
      <x:c r="A34" s="70"/>
      <x:c r="B34" s="70"/>
      <x:c r="C34" s="70"/>
      <x:c r="D34" s="70"/>
      <x:c r="E34" s="71" t="str">
        <x:f>IFERROR(INDEX('学校信息'!$F$4:$F$53,MATCH(B34,'学校信息'!$A$4:$A$53,0)),"")</x:f>
      </x:c>
      <x:c r="F34" s="71" t="str">
        <x:f>IFERROR(INDEX('学校信息'!$G$4:$G$53,MATCH(B34,'学校信息'!$A$4:$A$53,0)),"")</x:f>
      </x:c>
      <x:c r="G34" s="75"/>
      <x:c r="H34" s="70"/>
      <x:c r="I34" s="70"/>
      <x:c r="J34" s="28"/>
      <x:c r="K34" s="70"/>
      <x:c r="L34" s="70"/>
      <x:c r="M34" s="70"/>
      <x:c r="N34" s="70"/>
      <x:c r="O34" s="70"/>
      <x:c r="P34" s="28"/>
      <x:c r="Q34" s="70"/>
      <x:c r="R34" s="28"/>
      <x:c r="S34" s="28"/>
      <x:c r="T34" s="60" t="str">
        <x:f>IF(COUNTA(A34:D34)+COUNTA(G34:S34)=0,"",IF(OR(A34="",B34="",C34="",D34="",G34="",H34="",J34="",R34=""),"缺少必填项",IF(COUNTIF($A$4:$A$203,A34)&gt;1,"全局队伍ID重复",IF(COUNTIF('学校信息'!$A$4:$A$53,B34)=0,"学校ID不存在",IF(COUNTIFS($B$4:$B$203,B34,$G$4:$G$203,G34,$R$4:$R$203,"启用")&gt;1,"同校Hydro UID重复","通过")))))</x:f>
      </x:c>
    </x:row>
    <x:row r="35" ht="22" customHeight="1">
      <x:c r="A35" s="70"/>
      <x:c r="B35" s="70"/>
      <x:c r="C35" s="70"/>
      <x:c r="D35" s="70"/>
      <x:c r="E35" s="71" t="str">
        <x:f>IFERROR(INDEX('学校信息'!$F$4:$F$53,MATCH(B35,'学校信息'!$A$4:$A$53,0)),"")</x:f>
      </x:c>
      <x:c r="F35" s="71" t="str">
        <x:f>IFERROR(INDEX('学校信息'!$G$4:$G$53,MATCH(B35,'学校信息'!$A$4:$A$53,0)),"")</x:f>
      </x:c>
      <x:c r="G35" s="75"/>
      <x:c r="H35" s="70"/>
      <x:c r="I35" s="70"/>
      <x:c r="J35" s="28"/>
      <x:c r="K35" s="70"/>
      <x:c r="L35" s="70"/>
      <x:c r="M35" s="70"/>
      <x:c r="N35" s="70"/>
      <x:c r="O35" s="70"/>
      <x:c r="P35" s="28"/>
      <x:c r="Q35" s="70"/>
      <x:c r="R35" s="28"/>
      <x:c r="S35" s="28"/>
      <x:c r="T35" s="60" t="str">
        <x:f>IF(COUNTA(A35:D35)+COUNTA(G35:S35)=0,"",IF(OR(A35="",B35="",C35="",D35="",G35="",H35="",J35="",R35=""),"缺少必填项",IF(COUNTIF($A$4:$A$203,A35)&gt;1,"全局队伍ID重复",IF(COUNTIF('学校信息'!$A$4:$A$53,B35)=0,"学校ID不存在",IF(COUNTIFS($B$4:$B$203,B35,$G$4:$G$203,G35,$R$4:$R$203,"启用")&gt;1,"同校Hydro UID重复","通过")))))</x:f>
      </x:c>
    </x:row>
    <x:row r="36" ht="22" customHeight="1">
      <x:c r="A36" s="70"/>
      <x:c r="B36" s="70"/>
      <x:c r="C36" s="70"/>
      <x:c r="D36" s="70"/>
      <x:c r="E36" s="71" t="str">
        <x:f>IFERROR(INDEX('学校信息'!$F$4:$F$53,MATCH(B36,'学校信息'!$A$4:$A$53,0)),"")</x:f>
      </x:c>
      <x:c r="F36" s="71" t="str">
        <x:f>IFERROR(INDEX('学校信息'!$G$4:$G$53,MATCH(B36,'学校信息'!$A$4:$A$53,0)),"")</x:f>
      </x:c>
      <x:c r="G36" s="75"/>
      <x:c r="H36" s="70"/>
      <x:c r="I36" s="70"/>
      <x:c r="J36" s="28"/>
      <x:c r="K36" s="70"/>
      <x:c r="L36" s="70"/>
      <x:c r="M36" s="70"/>
      <x:c r="N36" s="70"/>
      <x:c r="O36" s="70"/>
      <x:c r="P36" s="28"/>
      <x:c r="Q36" s="70"/>
      <x:c r="R36" s="28"/>
      <x:c r="S36" s="28"/>
      <x:c r="T36" s="60" t="str">
        <x:f>IF(COUNTA(A36:D36)+COUNTA(G36:S36)=0,"",IF(OR(A36="",B36="",C36="",D36="",G36="",H36="",J36="",R36=""),"缺少必填项",IF(COUNTIF($A$4:$A$203,A36)&gt;1,"全局队伍ID重复",IF(COUNTIF('学校信息'!$A$4:$A$53,B36)=0,"学校ID不存在",IF(COUNTIFS($B$4:$B$203,B36,$G$4:$G$203,G36,$R$4:$R$203,"启用")&gt;1,"同校Hydro UID重复","通过")))))</x:f>
      </x:c>
    </x:row>
    <x:row r="37" ht="22" customHeight="1">
      <x:c r="A37" s="70"/>
      <x:c r="B37" s="70"/>
      <x:c r="C37" s="70"/>
      <x:c r="D37" s="70"/>
      <x:c r="E37" s="71" t="str">
        <x:f>IFERROR(INDEX('学校信息'!$F$4:$F$53,MATCH(B37,'学校信息'!$A$4:$A$53,0)),"")</x:f>
      </x:c>
      <x:c r="F37" s="71" t="str">
        <x:f>IFERROR(INDEX('学校信息'!$G$4:$G$53,MATCH(B37,'学校信息'!$A$4:$A$53,0)),"")</x:f>
      </x:c>
      <x:c r="G37" s="75"/>
      <x:c r="H37" s="70"/>
      <x:c r="I37" s="70"/>
      <x:c r="J37" s="28"/>
      <x:c r="K37" s="70"/>
      <x:c r="L37" s="70"/>
      <x:c r="M37" s="70"/>
      <x:c r="N37" s="70"/>
      <x:c r="O37" s="70"/>
      <x:c r="P37" s="28"/>
      <x:c r="Q37" s="70"/>
      <x:c r="R37" s="28"/>
      <x:c r="S37" s="28"/>
      <x:c r="T37" s="60" t="str">
        <x:f>IF(COUNTA(A37:D37)+COUNTA(G37:S37)=0,"",IF(OR(A37="",B37="",C37="",D37="",G37="",H37="",J37="",R37=""),"缺少必填项",IF(COUNTIF($A$4:$A$203,A37)&gt;1,"全局队伍ID重复",IF(COUNTIF('学校信息'!$A$4:$A$53,B37)=0,"学校ID不存在",IF(COUNTIFS($B$4:$B$203,B37,$G$4:$G$203,G37,$R$4:$R$203,"启用")&gt;1,"同校Hydro UID重复","通过")))))</x:f>
      </x:c>
    </x:row>
    <x:row r="38" ht="22" customHeight="1">
      <x:c r="A38" s="70"/>
      <x:c r="B38" s="70"/>
      <x:c r="C38" s="70"/>
      <x:c r="D38" s="70"/>
      <x:c r="E38" s="71" t="str">
        <x:f>IFERROR(INDEX('学校信息'!$F$4:$F$53,MATCH(B38,'学校信息'!$A$4:$A$53,0)),"")</x:f>
      </x:c>
      <x:c r="F38" s="71" t="str">
        <x:f>IFERROR(INDEX('学校信息'!$G$4:$G$53,MATCH(B38,'学校信息'!$A$4:$A$53,0)),"")</x:f>
      </x:c>
      <x:c r="G38" s="75"/>
      <x:c r="H38" s="70"/>
      <x:c r="I38" s="70"/>
      <x:c r="J38" s="28"/>
      <x:c r="K38" s="70"/>
      <x:c r="L38" s="70"/>
      <x:c r="M38" s="70"/>
      <x:c r="N38" s="70"/>
      <x:c r="O38" s="70"/>
      <x:c r="P38" s="28"/>
      <x:c r="Q38" s="70"/>
      <x:c r="R38" s="28"/>
      <x:c r="S38" s="28"/>
      <x:c r="T38" s="60" t="str">
        <x:f>IF(COUNTA(A38:D38)+COUNTA(G38:S38)=0,"",IF(OR(A38="",B38="",C38="",D38="",G38="",H38="",J38="",R38=""),"缺少必填项",IF(COUNTIF($A$4:$A$203,A38)&gt;1,"全局队伍ID重复",IF(COUNTIF('学校信息'!$A$4:$A$53,B38)=0,"学校ID不存在",IF(COUNTIFS($B$4:$B$203,B38,$G$4:$G$203,G38,$R$4:$R$203,"启用")&gt;1,"同校Hydro UID重复","通过")))))</x:f>
      </x:c>
    </x:row>
    <x:row r="39" ht="22" customHeight="1">
      <x:c r="A39" s="70"/>
      <x:c r="B39" s="70"/>
      <x:c r="C39" s="70"/>
      <x:c r="D39" s="70"/>
      <x:c r="E39" s="71" t="str">
        <x:f>IFERROR(INDEX('学校信息'!$F$4:$F$53,MATCH(B39,'学校信息'!$A$4:$A$53,0)),"")</x:f>
      </x:c>
      <x:c r="F39" s="71" t="str">
        <x:f>IFERROR(INDEX('学校信息'!$G$4:$G$53,MATCH(B39,'学校信息'!$A$4:$A$53,0)),"")</x:f>
      </x:c>
      <x:c r="G39" s="75"/>
      <x:c r="H39" s="70"/>
      <x:c r="I39" s="70"/>
      <x:c r="J39" s="28"/>
      <x:c r="K39" s="70"/>
      <x:c r="L39" s="70"/>
      <x:c r="M39" s="70"/>
      <x:c r="N39" s="70"/>
      <x:c r="O39" s="70"/>
      <x:c r="P39" s="28"/>
      <x:c r="Q39" s="70"/>
      <x:c r="R39" s="28"/>
      <x:c r="S39" s="28"/>
      <x:c r="T39" s="60" t="str">
        <x:f>IF(COUNTA(A39:D39)+COUNTA(G39:S39)=0,"",IF(OR(A39="",B39="",C39="",D39="",G39="",H39="",J39="",R39=""),"缺少必填项",IF(COUNTIF($A$4:$A$203,A39)&gt;1,"全局队伍ID重复",IF(COUNTIF('学校信息'!$A$4:$A$53,B39)=0,"学校ID不存在",IF(COUNTIFS($B$4:$B$203,B39,$G$4:$G$203,G39,$R$4:$R$203,"启用")&gt;1,"同校Hydro UID重复","通过")))))</x:f>
      </x:c>
    </x:row>
    <x:row r="40" ht="22" customHeight="1">
      <x:c r="A40" s="70"/>
      <x:c r="B40" s="70"/>
      <x:c r="C40" s="70"/>
      <x:c r="D40" s="70"/>
      <x:c r="E40" s="71" t="str">
        <x:f>IFERROR(INDEX('学校信息'!$F$4:$F$53,MATCH(B40,'学校信息'!$A$4:$A$53,0)),"")</x:f>
      </x:c>
      <x:c r="F40" s="71" t="str">
        <x:f>IFERROR(INDEX('学校信息'!$G$4:$G$53,MATCH(B40,'学校信息'!$A$4:$A$53,0)),"")</x:f>
      </x:c>
      <x:c r="G40" s="75"/>
      <x:c r="H40" s="70"/>
      <x:c r="I40" s="70"/>
      <x:c r="J40" s="28"/>
      <x:c r="K40" s="70"/>
      <x:c r="L40" s="70"/>
      <x:c r="M40" s="70"/>
      <x:c r="N40" s="70"/>
      <x:c r="O40" s="70"/>
      <x:c r="P40" s="28"/>
      <x:c r="Q40" s="70"/>
      <x:c r="R40" s="28"/>
      <x:c r="S40" s="28"/>
      <x:c r="T40" s="60" t="str">
        <x:f>IF(COUNTA(A40:D40)+COUNTA(G40:S40)=0,"",IF(OR(A40="",B40="",C40="",D40="",G40="",H40="",J40="",R40=""),"缺少必填项",IF(COUNTIF($A$4:$A$203,A40)&gt;1,"全局队伍ID重复",IF(COUNTIF('学校信息'!$A$4:$A$53,B40)=0,"学校ID不存在",IF(COUNTIFS($B$4:$B$203,B40,$G$4:$G$203,G40,$R$4:$R$203,"启用")&gt;1,"同校Hydro UID重复","通过")))))</x:f>
      </x:c>
    </x:row>
    <x:row r="41" ht="22" customHeight="1">
      <x:c r="A41" s="70"/>
      <x:c r="B41" s="70"/>
      <x:c r="C41" s="70"/>
      <x:c r="D41" s="70"/>
      <x:c r="E41" s="71" t="str">
        <x:f>IFERROR(INDEX('学校信息'!$F$4:$F$53,MATCH(B41,'学校信息'!$A$4:$A$53,0)),"")</x:f>
      </x:c>
      <x:c r="F41" s="71" t="str">
        <x:f>IFERROR(INDEX('学校信息'!$G$4:$G$53,MATCH(B41,'学校信息'!$A$4:$A$53,0)),"")</x:f>
      </x:c>
      <x:c r="G41" s="75"/>
      <x:c r="H41" s="70"/>
      <x:c r="I41" s="70"/>
      <x:c r="J41" s="28"/>
      <x:c r="K41" s="70"/>
      <x:c r="L41" s="70"/>
      <x:c r="M41" s="70"/>
      <x:c r="N41" s="70"/>
      <x:c r="O41" s="70"/>
      <x:c r="P41" s="28"/>
      <x:c r="Q41" s="70"/>
      <x:c r="R41" s="28"/>
      <x:c r="S41" s="28"/>
      <x:c r="T41" s="60" t="str">
        <x:f>IF(COUNTA(A41:D41)+COUNTA(G41:S41)=0,"",IF(OR(A41="",B41="",C41="",D41="",G41="",H41="",J41="",R41=""),"缺少必填项",IF(COUNTIF($A$4:$A$203,A41)&gt;1,"全局队伍ID重复",IF(COUNTIF('学校信息'!$A$4:$A$53,B41)=0,"学校ID不存在",IF(COUNTIFS($B$4:$B$203,B41,$G$4:$G$203,G41,$R$4:$R$203,"启用")&gt;1,"同校Hydro UID重复","通过")))))</x:f>
      </x:c>
    </x:row>
    <x:row r="42" ht="22" customHeight="1">
      <x:c r="A42" s="70"/>
      <x:c r="B42" s="70"/>
      <x:c r="C42" s="70"/>
      <x:c r="D42" s="70"/>
      <x:c r="E42" s="71" t="str">
        <x:f>IFERROR(INDEX('学校信息'!$F$4:$F$53,MATCH(B42,'学校信息'!$A$4:$A$53,0)),"")</x:f>
      </x:c>
      <x:c r="F42" s="71" t="str">
        <x:f>IFERROR(INDEX('学校信息'!$G$4:$G$53,MATCH(B42,'学校信息'!$A$4:$A$53,0)),"")</x:f>
      </x:c>
      <x:c r="G42" s="75"/>
      <x:c r="H42" s="70"/>
      <x:c r="I42" s="70"/>
      <x:c r="J42" s="28"/>
      <x:c r="K42" s="70"/>
      <x:c r="L42" s="70"/>
      <x:c r="M42" s="70"/>
      <x:c r="N42" s="70"/>
      <x:c r="O42" s="70"/>
      <x:c r="P42" s="28"/>
      <x:c r="Q42" s="70"/>
      <x:c r="R42" s="28"/>
      <x:c r="S42" s="28"/>
      <x:c r="T42" s="60" t="str">
        <x:f>IF(COUNTA(A42:D42)+COUNTA(G42:S42)=0,"",IF(OR(A42="",B42="",C42="",D42="",G42="",H42="",J42="",R42=""),"缺少必填项",IF(COUNTIF($A$4:$A$203,A42)&gt;1,"全局队伍ID重复",IF(COUNTIF('学校信息'!$A$4:$A$53,B42)=0,"学校ID不存在",IF(COUNTIFS($B$4:$B$203,B42,$G$4:$G$203,G42,$R$4:$R$203,"启用")&gt;1,"同校Hydro UID重复","通过")))))</x:f>
      </x:c>
    </x:row>
    <x:row r="43" ht="22" customHeight="1">
      <x:c r="A43" s="70"/>
      <x:c r="B43" s="70"/>
      <x:c r="C43" s="70"/>
      <x:c r="D43" s="70"/>
      <x:c r="E43" s="71" t="str">
        <x:f>IFERROR(INDEX('学校信息'!$F$4:$F$53,MATCH(B43,'学校信息'!$A$4:$A$53,0)),"")</x:f>
      </x:c>
      <x:c r="F43" s="71" t="str">
        <x:f>IFERROR(INDEX('学校信息'!$G$4:$G$53,MATCH(B43,'学校信息'!$A$4:$A$53,0)),"")</x:f>
      </x:c>
      <x:c r="G43" s="75"/>
      <x:c r="H43" s="70"/>
      <x:c r="I43" s="70"/>
      <x:c r="J43" s="28"/>
      <x:c r="K43" s="70"/>
      <x:c r="L43" s="70"/>
      <x:c r="M43" s="70"/>
      <x:c r="N43" s="70"/>
      <x:c r="O43" s="70"/>
      <x:c r="P43" s="28"/>
      <x:c r="Q43" s="70"/>
      <x:c r="R43" s="28"/>
      <x:c r="S43" s="28"/>
      <x:c r="T43" s="60" t="str">
        <x:f>IF(COUNTA(A43:D43)+COUNTA(G43:S43)=0,"",IF(OR(A43="",B43="",C43="",D43="",G43="",H43="",J43="",R43=""),"缺少必填项",IF(COUNTIF($A$4:$A$203,A43)&gt;1,"全局队伍ID重复",IF(COUNTIF('学校信息'!$A$4:$A$53,B43)=0,"学校ID不存在",IF(COUNTIFS($B$4:$B$203,B43,$G$4:$G$203,G43,$R$4:$R$203,"启用")&gt;1,"同校Hydro UID重复","通过")))))</x:f>
      </x:c>
    </x:row>
    <x:row r="44" ht="22" customHeight="1">
      <x:c r="A44" s="70"/>
      <x:c r="B44" s="70"/>
      <x:c r="C44" s="70"/>
      <x:c r="D44" s="70"/>
      <x:c r="E44" s="71" t="str">
        <x:f>IFERROR(INDEX('学校信息'!$F$4:$F$53,MATCH(B44,'学校信息'!$A$4:$A$53,0)),"")</x:f>
      </x:c>
      <x:c r="F44" s="71" t="str">
        <x:f>IFERROR(INDEX('学校信息'!$G$4:$G$53,MATCH(B44,'学校信息'!$A$4:$A$53,0)),"")</x:f>
      </x:c>
      <x:c r="G44" s="75"/>
      <x:c r="H44" s="70"/>
      <x:c r="I44" s="70"/>
      <x:c r="J44" s="28"/>
      <x:c r="K44" s="70"/>
      <x:c r="L44" s="70"/>
      <x:c r="M44" s="70"/>
      <x:c r="N44" s="70"/>
      <x:c r="O44" s="70"/>
      <x:c r="P44" s="28"/>
      <x:c r="Q44" s="70"/>
      <x:c r="R44" s="28"/>
      <x:c r="S44" s="28"/>
      <x:c r="T44" s="60" t="str">
        <x:f>IF(COUNTA(A44:D44)+COUNTA(G44:S44)=0,"",IF(OR(A44="",B44="",C44="",D44="",G44="",H44="",J44="",R44=""),"缺少必填项",IF(COUNTIF($A$4:$A$203,A44)&gt;1,"全局队伍ID重复",IF(COUNTIF('学校信息'!$A$4:$A$53,B44)=0,"学校ID不存在",IF(COUNTIFS($B$4:$B$203,B44,$G$4:$G$203,G44,$R$4:$R$203,"启用")&gt;1,"同校Hydro UID重复","通过")))))</x:f>
      </x:c>
    </x:row>
    <x:row r="45" ht="22" customHeight="1">
      <x:c r="A45" s="70"/>
      <x:c r="B45" s="70"/>
      <x:c r="C45" s="70"/>
      <x:c r="D45" s="70"/>
      <x:c r="E45" s="71" t="str">
        <x:f>IFERROR(INDEX('学校信息'!$F$4:$F$53,MATCH(B45,'学校信息'!$A$4:$A$53,0)),"")</x:f>
      </x:c>
      <x:c r="F45" s="71" t="str">
        <x:f>IFERROR(INDEX('学校信息'!$G$4:$G$53,MATCH(B45,'学校信息'!$A$4:$A$53,0)),"")</x:f>
      </x:c>
      <x:c r="G45" s="75"/>
      <x:c r="H45" s="70"/>
      <x:c r="I45" s="70"/>
      <x:c r="J45" s="28"/>
      <x:c r="K45" s="70"/>
      <x:c r="L45" s="70"/>
      <x:c r="M45" s="70"/>
      <x:c r="N45" s="70"/>
      <x:c r="O45" s="70"/>
      <x:c r="P45" s="28"/>
      <x:c r="Q45" s="70"/>
      <x:c r="R45" s="28"/>
      <x:c r="S45" s="28"/>
      <x:c r="T45" s="60" t="str">
        <x:f>IF(COUNTA(A45:D45)+COUNTA(G45:S45)=0,"",IF(OR(A45="",B45="",C45="",D45="",G45="",H45="",J45="",R45=""),"缺少必填项",IF(COUNTIF($A$4:$A$203,A45)&gt;1,"全局队伍ID重复",IF(COUNTIF('学校信息'!$A$4:$A$53,B45)=0,"学校ID不存在",IF(COUNTIFS($B$4:$B$203,B45,$G$4:$G$203,G45,$R$4:$R$203,"启用")&gt;1,"同校Hydro UID重复","通过")))))</x:f>
      </x:c>
    </x:row>
    <x:row r="46" ht="22" customHeight="1">
      <x:c r="A46" s="70"/>
      <x:c r="B46" s="70"/>
      <x:c r="C46" s="70"/>
      <x:c r="D46" s="70"/>
      <x:c r="E46" s="71" t="str">
        <x:f>IFERROR(INDEX('学校信息'!$F$4:$F$53,MATCH(B46,'学校信息'!$A$4:$A$53,0)),"")</x:f>
      </x:c>
      <x:c r="F46" s="71" t="str">
        <x:f>IFERROR(INDEX('学校信息'!$G$4:$G$53,MATCH(B46,'学校信息'!$A$4:$A$53,0)),"")</x:f>
      </x:c>
      <x:c r="G46" s="75"/>
      <x:c r="H46" s="70"/>
      <x:c r="I46" s="70"/>
      <x:c r="J46" s="28"/>
      <x:c r="K46" s="70"/>
      <x:c r="L46" s="70"/>
      <x:c r="M46" s="70"/>
      <x:c r="N46" s="70"/>
      <x:c r="O46" s="70"/>
      <x:c r="P46" s="28"/>
      <x:c r="Q46" s="70"/>
      <x:c r="R46" s="28"/>
      <x:c r="S46" s="28"/>
      <x:c r="T46" s="60" t="str">
        <x:f>IF(COUNTA(A46:D46)+COUNTA(G46:S46)=0,"",IF(OR(A46="",B46="",C46="",D46="",G46="",H46="",J46="",R46=""),"缺少必填项",IF(COUNTIF($A$4:$A$203,A46)&gt;1,"全局队伍ID重复",IF(COUNTIF('学校信息'!$A$4:$A$53,B46)=0,"学校ID不存在",IF(COUNTIFS($B$4:$B$203,B46,$G$4:$G$203,G46,$R$4:$R$203,"启用")&gt;1,"同校Hydro UID重复","通过")))))</x:f>
      </x:c>
    </x:row>
    <x:row r="47" ht="22" customHeight="1">
      <x:c r="A47" s="70"/>
      <x:c r="B47" s="70"/>
      <x:c r="C47" s="70"/>
      <x:c r="D47" s="70"/>
      <x:c r="E47" s="71" t="str">
        <x:f>IFERROR(INDEX('学校信息'!$F$4:$F$53,MATCH(B47,'学校信息'!$A$4:$A$53,0)),"")</x:f>
      </x:c>
      <x:c r="F47" s="71" t="str">
        <x:f>IFERROR(INDEX('学校信息'!$G$4:$G$53,MATCH(B47,'学校信息'!$A$4:$A$53,0)),"")</x:f>
      </x:c>
      <x:c r="G47" s="75"/>
      <x:c r="H47" s="70"/>
      <x:c r="I47" s="70"/>
      <x:c r="J47" s="28"/>
      <x:c r="K47" s="70"/>
      <x:c r="L47" s="70"/>
      <x:c r="M47" s="70"/>
      <x:c r="N47" s="70"/>
      <x:c r="O47" s="70"/>
      <x:c r="P47" s="28"/>
      <x:c r="Q47" s="70"/>
      <x:c r="R47" s="28"/>
      <x:c r="S47" s="28"/>
      <x:c r="T47" s="60" t="str">
        <x:f>IF(COUNTA(A47:D47)+COUNTA(G47:S47)=0,"",IF(OR(A47="",B47="",C47="",D47="",G47="",H47="",J47="",R47=""),"缺少必填项",IF(COUNTIF($A$4:$A$203,A47)&gt;1,"全局队伍ID重复",IF(COUNTIF('学校信息'!$A$4:$A$53,B47)=0,"学校ID不存在",IF(COUNTIFS($B$4:$B$203,B47,$G$4:$G$203,G47,$R$4:$R$203,"启用")&gt;1,"同校Hydro UID重复","通过")))))</x:f>
      </x:c>
    </x:row>
    <x:row r="48" ht="22" customHeight="1">
      <x:c r="A48" s="70"/>
      <x:c r="B48" s="70"/>
      <x:c r="C48" s="70"/>
      <x:c r="D48" s="70"/>
      <x:c r="E48" s="71" t="str">
        <x:f>IFERROR(INDEX('学校信息'!$F$4:$F$53,MATCH(B48,'学校信息'!$A$4:$A$53,0)),"")</x:f>
      </x:c>
      <x:c r="F48" s="71" t="str">
        <x:f>IFERROR(INDEX('学校信息'!$G$4:$G$53,MATCH(B48,'学校信息'!$A$4:$A$53,0)),"")</x:f>
      </x:c>
      <x:c r="G48" s="75"/>
      <x:c r="H48" s="70"/>
      <x:c r="I48" s="70"/>
      <x:c r="J48" s="28"/>
      <x:c r="K48" s="70"/>
      <x:c r="L48" s="70"/>
      <x:c r="M48" s="70"/>
      <x:c r="N48" s="70"/>
      <x:c r="O48" s="70"/>
      <x:c r="P48" s="28"/>
      <x:c r="Q48" s="70"/>
      <x:c r="R48" s="28"/>
      <x:c r="S48" s="28"/>
      <x:c r="T48" s="60" t="str">
        <x:f>IF(COUNTA(A48:D48)+COUNTA(G48:S48)=0,"",IF(OR(A48="",B48="",C48="",D48="",G48="",H48="",J48="",R48=""),"缺少必填项",IF(COUNTIF($A$4:$A$203,A48)&gt;1,"全局队伍ID重复",IF(COUNTIF('学校信息'!$A$4:$A$53,B48)=0,"学校ID不存在",IF(COUNTIFS($B$4:$B$203,B48,$G$4:$G$203,G48,$R$4:$R$203,"启用")&gt;1,"同校Hydro UID重复","通过")))))</x:f>
      </x:c>
    </x:row>
    <x:row r="49" ht="22" customHeight="1">
      <x:c r="A49" s="70"/>
      <x:c r="B49" s="70"/>
      <x:c r="C49" s="70"/>
      <x:c r="D49" s="70"/>
      <x:c r="E49" s="71" t="str">
        <x:f>IFERROR(INDEX('学校信息'!$F$4:$F$53,MATCH(B49,'学校信息'!$A$4:$A$53,0)),"")</x:f>
      </x:c>
      <x:c r="F49" s="71" t="str">
        <x:f>IFERROR(INDEX('学校信息'!$G$4:$G$53,MATCH(B49,'学校信息'!$A$4:$A$53,0)),"")</x:f>
      </x:c>
      <x:c r="G49" s="75"/>
      <x:c r="H49" s="70"/>
      <x:c r="I49" s="70"/>
      <x:c r="J49" s="28"/>
      <x:c r="K49" s="70"/>
      <x:c r="L49" s="70"/>
      <x:c r="M49" s="70"/>
      <x:c r="N49" s="70"/>
      <x:c r="O49" s="70"/>
      <x:c r="P49" s="28"/>
      <x:c r="Q49" s="70"/>
      <x:c r="R49" s="28"/>
      <x:c r="S49" s="28"/>
      <x:c r="T49" s="60" t="str">
        <x:f>IF(COUNTA(A49:D49)+COUNTA(G49:S49)=0,"",IF(OR(A49="",B49="",C49="",D49="",G49="",H49="",J49="",R49=""),"缺少必填项",IF(COUNTIF($A$4:$A$203,A49)&gt;1,"全局队伍ID重复",IF(COUNTIF('学校信息'!$A$4:$A$53,B49)=0,"学校ID不存在",IF(COUNTIFS($B$4:$B$203,B49,$G$4:$G$203,G49,$R$4:$R$203,"启用")&gt;1,"同校Hydro UID重复","通过")))))</x:f>
      </x:c>
    </x:row>
    <x:row r="50" ht="22" customHeight="1">
      <x:c r="A50" s="70"/>
      <x:c r="B50" s="70"/>
      <x:c r="C50" s="70"/>
      <x:c r="D50" s="70"/>
      <x:c r="E50" s="71" t="str">
        <x:f>IFERROR(INDEX('学校信息'!$F$4:$F$53,MATCH(B50,'学校信息'!$A$4:$A$53,0)),"")</x:f>
      </x:c>
      <x:c r="F50" s="71" t="str">
        <x:f>IFERROR(INDEX('学校信息'!$G$4:$G$53,MATCH(B50,'学校信息'!$A$4:$A$53,0)),"")</x:f>
      </x:c>
      <x:c r="G50" s="75"/>
      <x:c r="H50" s="70"/>
      <x:c r="I50" s="70"/>
      <x:c r="J50" s="28"/>
      <x:c r="K50" s="70"/>
      <x:c r="L50" s="70"/>
      <x:c r="M50" s="70"/>
      <x:c r="N50" s="70"/>
      <x:c r="O50" s="70"/>
      <x:c r="P50" s="28"/>
      <x:c r="Q50" s="70"/>
      <x:c r="R50" s="28"/>
      <x:c r="S50" s="28"/>
      <x:c r="T50" s="60" t="str">
        <x:f>IF(COUNTA(A50:D50)+COUNTA(G50:S50)=0,"",IF(OR(A50="",B50="",C50="",D50="",G50="",H50="",J50="",R50=""),"缺少必填项",IF(COUNTIF($A$4:$A$203,A50)&gt;1,"全局队伍ID重复",IF(COUNTIF('学校信息'!$A$4:$A$53,B50)=0,"学校ID不存在",IF(COUNTIFS($B$4:$B$203,B50,$G$4:$G$203,G50,$R$4:$R$203,"启用")&gt;1,"同校Hydro UID重复","通过")))))</x:f>
      </x:c>
    </x:row>
    <x:row r="51" ht="22" customHeight="1">
      <x:c r="A51" s="70"/>
      <x:c r="B51" s="70"/>
      <x:c r="C51" s="70"/>
      <x:c r="D51" s="70"/>
      <x:c r="E51" s="71" t="str">
        <x:f>IFERROR(INDEX('学校信息'!$F$4:$F$53,MATCH(B51,'学校信息'!$A$4:$A$53,0)),"")</x:f>
      </x:c>
      <x:c r="F51" s="71" t="str">
        <x:f>IFERROR(INDEX('学校信息'!$G$4:$G$53,MATCH(B51,'学校信息'!$A$4:$A$53,0)),"")</x:f>
      </x:c>
      <x:c r="G51" s="75"/>
      <x:c r="H51" s="70"/>
      <x:c r="I51" s="70"/>
      <x:c r="J51" s="28"/>
      <x:c r="K51" s="70"/>
      <x:c r="L51" s="70"/>
      <x:c r="M51" s="70"/>
      <x:c r="N51" s="70"/>
      <x:c r="O51" s="70"/>
      <x:c r="P51" s="28"/>
      <x:c r="Q51" s="70"/>
      <x:c r="R51" s="28"/>
      <x:c r="S51" s="28"/>
      <x:c r="T51" s="60" t="str">
        <x:f>IF(COUNTA(A51:D51)+COUNTA(G51:S51)=0,"",IF(OR(A51="",B51="",C51="",D51="",G51="",H51="",J51="",R51=""),"缺少必填项",IF(COUNTIF($A$4:$A$203,A51)&gt;1,"全局队伍ID重复",IF(COUNTIF('学校信息'!$A$4:$A$53,B51)=0,"学校ID不存在",IF(COUNTIFS($B$4:$B$203,B51,$G$4:$G$203,G51,$R$4:$R$203,"启用")&gt;1,"同校Hydro UID重复","通过")))))</x:f>
      </x:c>
    </x:row>
    <x:row r="52" ht="22" customHeight="1">
      <x:c r="A52" s="70"/>
      <x:c r="B52" s="70"/>
      <x:c r="C52" s="70"/>
      <x:c r="D52" s="70"/>
      <x:c r="E52" s="71" t="str">
        <x:f>IFERROR(INDEX('学校信息'!$F$4:$F$53,MATCH(B52,'学校信息'!$A$4:$A$53,0)),"")</x:f>
      </x:c>
      <x:c r="F52" s="71" t="str">
        <x:f>IFERROR(INDEX('学校信息'!$G$4:$G$53,MATCH(B52,'学校信息'!$A$4:$A$53,0)),"")</x:f>
      </x:c>
      <x:c r="G52" s="75"/>
      <x:c r="H52" s="70"/>
      <x:c r="I52" s="70"/>
      <x:c r="J52" s="28"/>
      <x:c r="K52" s="70"/>
      <x:c r="L52" s="70"/>
      <x:c r="M52" s="70"/>
      <x:c r="N52" s="70"/>
      <x:c r="O52" s="70"/>
      <x:c r="P52" s="28"/>
      <x:c r="Q52" s="70"/>
      <x:c r="R52" s="28"/>
      <x:c r="S52" s="28"/>
      <x:c r="T52" s="60" t="str">
        <x:f>IF(COUNTA(A52:D52)+COUNTA(G52:S52)=0,"",IF(OR(A52="",B52="",C52="",D52="",G52="",H52="",J52="",R52=""),"缺少必填项",IF(COUNTIF($A$4:$A$203,A52)&gt;1,"全局队伍ID重复",IF(COUNTIF('学校信息'!$A$4:$A$53,B52)=0,"学校ID不存在",IF(COUNTIFS($B$4:$B$203,B52,$G$4:$G$203,G52,$R$4:$R$203,"启用")&gt;1,"同校Hydro UID重复","通过")))))</x:f>
      </x:c>
    </x:row>
    <x:row r="53" ht="22" customHeight="1">
      <x:c r="A53" s="70"/>
      <x:c r="B53" s="70"/>
      <x:c r="C53" s="70"/>
      <x:c r="D53" s="70"/>
      <x:c r="E53" s="71" t="str">
        <x:f>IFERROR(INDEX('学校信息'!$F$4:$F$53,MATCH(B53,'学校信息'!$A$4:$A$53,0)),"")</x:f>
      </x:c>
      <x:c r="F53" s="71" t="str">
        <x:f>IFERROR(INDEX('学校信息'!$G$4:$G$53,MATCH(B53,'学校信息'!$A$4:$A$53,0)),"")</x:f>
      </x:c>
      <x:c r="G53" s="75"/>
      <x:c r="H53" s="70"/>
      <x:c r="I53" s="70"/>
      <x:c r="J53" s="28"/>
      <x:c r="K53" s="70"/>
      <x:c r="L53" s="70"/>
      <x:c r="M53" s="70"/>
      <x:c r="N53" s="70"/>
      <x:c r="O53" s="70"/>
      <x:c r="P53" s="28"/>
      <x:c r="Q53" s="70"/>
      <x:c r="R53" s="28"/>
      <x:c r="S53" s="28"/>
      <x:c r="T53" s="60" t="str">
        <x:f>IF(COUNTA(A53:D53)+COUNTA(G53:S53)=0,"",IF(OR(A53="",B53="",C53="",D53="",G53="",H53="",J53="",R53=""),"缺少必填项",IF(COUNTIF($A$4:$A$203,A53)&gt;1,"全局队伍ID重复",IF(COUNTIF('学校信息'!$A$4:$A$53,B53)=0,"学校ID不存在",IF(COUNTIFS($B$4:$B$203,B53,$G$4:$G$203,G53,$R$4:$R$203,"启用")&gt;1,"同校Hydro UID重复","通过")))))</x:f>
      </x:c>
    </x:row>
    <x:row r="54" ht="22" customHeight="1">
      <x:c r="A54" s="70"/>
      <x:c r="B54" s="70"/>
      <x:c r="C54" s="70"/>
      <x:c r="D54" s="70"/>
      <x:c r="E54" s="71" t="str">
        <x:f>IFERROR(INDEX('学校信息'!$F$4:$F$53,MATCH(B54,'学校信息'!$A$4:$A$53,0)),"")</x:f>
      </x:c>
      <x:c r="F54" s="71" t="str">
        <x:f>IFERROR(INDEX('学校信息'!$G$4:$G$53,MATCH(B54,'学校信息'!$A$4:$A$53,0)),"")</x:f>
      </x:c>
      <x:c r="G54" s="75"/>
      <x:c r="H54" s="70"/>
      <x:c r="I54" s="70"/>
      <x:c r="J54" s="28"/>
      <x:c r="K54" s="70"/>
      <x:c r="L54" s="70"/>
      <x:c r="M54" s="70"/>
      <x:c r="N54" s="70"/>
      <x:c r="O54" s="70"/>
      <x:c r="P54" s="28"/>
      <x:c r="Q54" s="70"/>
      <x:c r="R54" s="28"/>
      <x:c r="S54" s="28"/>
      <x:c r="T54" s="60" t="str">
        <x:f>IF(COUNTA(A54:D54)+COUNTA(G54:S54)=0,"",IF(OR(A54="",B54="",C54="",D54="",G54="",H54="",J54="",R54=""),"缺少必填项",IF(COUNTIF($A$4:$A$203,A54)&gt;1,"全局队伍ID重复",IF(COUNTIF('学校信息'!$A$4:$A$53,B54)=0,"学校ID不存在",IF(COUNTIFS($B$4:$B$203,B54,$G$4:$G$203,G54,$R$4:$R$203,"启用")&gt;1,"同校Hydro UID重复","通过")))))</x:f>
      </x:c>
    </x:row>
    <x:row r="55" ht="22" customHeight="1">
      <x:c r="A55" s="70"/>
      <x:c r="B55" s="70"/>
      <x:c r="C55" s="70"/>
      <x:c r="D55" s="70"/>
      <x:c r="E55" s="71" t="str">
        <x:f>IFERROR(INDEX('学校信息'!$F$4:$F$53,MATCH(B55,'学校信息'!$A$4:$A$53,0)),"")</x:f>
      </x:c>
      <x:c r="F55" s="71" t="str">
        <x:f>IFERROR(INDEX('学校信息'!$G$4:$G$53,MATCH(B55,'学校信息'!$A$4:$A$53,0)),"")</x:f>
      </x:c>
      <x:c r="G55" s="75"/>
      <x:c r="H55" s="70"/>
      <x:c r="I55" s="70"/>
      <x:c r="J55" s="28"/>
      <x:c r="K55" s="70"/>
      <x:c r="L55" s="70"/>
      <x:c r="M55" s="70"/>
      <x:c r="N55" s="70"/>
      <x:c r="O55" s="70"/>
      <x:c r="P55" s="28"/>
      <x:c r="Q55" s="70"/>
      <x:c r="R55" s="28"/>
      <x:c r="S55" s="28"/>
      <x:c r="T55" s="60" t="str">
        <x:f>IF(COUNTA(A55:D55)+COUNTA(G55:S55)=0,"",IF(OR(A55="",B55="",C55="",D55="",G55="",H55="",J55="",R55=""),"缺少必填项",IF(COUNTIF($A$4:$A$203,A55)&gt;1,"全局队伍ID重复",IF(COUNTIF('学校信息'!$A$4:$A$53,B55)=0,"学校ID不存在",IF(COUNTIFS($B$4:$B$203,B55,$G$4:$G$203,G55,$R$4:$R$203,"启用")&gt;1,"同校Hydro UID重复","通过")))))</x:f>
      </x:c>
    </x:row>
    <x:row r="56" ht="22" customHeight="1">
      <x:c r="A56" s="70"/>
      <x:c r="B56" s="70"/>
      <x:c r="C56" s="70"/>
      <x:c r="D56" s="70"/>
      <x:c r="E56" s="71" t="str">
        <x:f>IFERROR(INDEX('学校信息'!$F$4:$F$53,MATCH(B56,'学校信息'!$A$4:$A$53,0)),"")</x:f>
      </x:c>
      <x:c r="F56" s="71" t="str">
        <x:f>IFERROR(INDEX('学校信息'!$G$4:$G$53,MATCH(B56,'学校信息'!$A$4:$A$53,0)),"")</x:f>
      </x:c>
      <x:c r="G56" s="75"/>
      <x:c r="H56" s="70"/>
      <x:c r="I56" s="70"/>
      <x:c r="J56" s="28"/>
      <x:c r="K56" s="70"/>
      <x:c r="L56" s="70"/>
      <x:c r="M56" s="70"/>
      <x:c r="N56" s="70"/>
      <x:c r="O56" s="70"/>
      <x:c r="P56" s="28"/>
      <x:c r="Q56" s="70"/>
      <x:c r="R56" s="28"/>
      <x:c r="S56" s="28"/>
      <x:c r="T56" s="60" t="str">
        <x:f>IF(COUNTA(A56:D56)+COUNTA(G56:S56)=0,"",IF(OR(A56="",B56="",C56="",D56="",G56="",H56="",J56="",R56=""),"缺少必填项",IF(COUNTIF($A$4:$A$203,A56)&gt;1,"全局队伍ID重复",IF(COUNTIF('学校信息'!$A$4:$A$53,B56)=0,"学校ID不存在",IF(COUNTIFS($B$4:$B$203,B56,$G$4:$G$203,G56,$R$4:$R$203,"启用")&gt;1,"同校Hydro UID重复","通过")))))</x:f>
      </x:c>
    </x:row>
    <x:row r="57" ht="22" customHeight="1">
      <x:c r="A57" s="70"/>
      <x:c r="B57" s="70"/>
      <x:c r="C57" s="70"/>
      <x:c r="D57" s="70"/>
      <x:c r="E57" s="71" t="str">
        <x:f>IFERROR(INDEX('学校信息'!$F$4:$F$53,MATCH(B57,'学校信息'!$A$4:$A$53,0)),"")</x:f>
      </x:c>
      <x:c r="F57" s="71" t="str">
        <x:f>IFERROR(INDEX('学校信息'!$G$4:$G$53,MATCH(B57,'学校信息'!$A$4:$A$53,0)),"")</x:f>
      </x:c>
      <x:c r="G57" s="75"/>
      <x:c r="H57" s="70"/>
      <x:c r="I57" s="70"/>
      <x:c r="J57" s="28"/>
      <x:c r="K57" s="70"/>
      <x:c r="L57" s="70"/>
      <x:c r="M57" s="70"/>
      <x:c r="N57" s="70"/>
      <x:c r="O57" s="70"/>
      <x:c r="P57" s="28"/>
      <x:c r="Q57" s="70"/>
      <x:c r="R57" s="28"/>
      <x:c r="S57" s="28"/>
      <x:c r="T57" s="60" t="str">
        <x:f>IF(COUNTA(A57:D57)+COUNTA(G57:S57)=0,"",IF(OR(A57="",B57="",C57="",D57="",G57="",H57="",J57="",R57=""),"缺少必填项",IF(COUNTIF($A$4:$A$203,A57)&gt;1,"全局队伍ID重复",IF(COUNTIF('学校信息'!$A$4:$A$53,B57)=0,"学校ID不存在",IF(COUNTIFS($B$4:$B$203,B57,$G$4:$G$203,G57,$R$4:$R$203,"启用")&gt;1,"同校Hydro UID重复","通过")))))</x:f>
      </x:c>
    </x:row>
    <x:row r="58" ht="22" customHeight="1">
      <x:c r="A58" s="70"/>
      <x:c r="B58" s="70"/>
      <x:c r="C58" s="70"/>
      <x:c r="D58" s="70"/>
      <x:c r="E58" s="71" t="str">
        <x:f>IFERROR(INDEX('学校信息'!$F$4:$F$53,MATCH(B58,'学校信息'!$A$4:$A$53,0)),"")</x:f>
      </x:c>
      <x:c r="F58" s="71" t="str">
        <x:f>IFERROR(INDEX('学校信息'!$G$4:$G$53,MATCH(B58,'学校信息'!$A$4:$A$53,0)),"")</x:f>
      </x:c>
      <x:c r="G58" s="75"/>
      <x:c r="H58" s="70"/>
      <x:c r="I58" s="70"/>
      <x:c r="J58" s="28"/>
      <x:c r="K58" s="70"/>
      <x:c r="L58" s="70"/>
      <x:c r="M58" s="70"/>
      <x:c r="N58" s="70"/>
      <x:c r="O58" s="70"/>
      <x:c r="P58" s="28"/>
      <x:c r="Q58" s="70"/>
      <x:c r="R58" s="28"/>
      <x:c r="S58" s="28"/>
      <x:c r="T58" s="60" t="str">
        <x:f>IF(COUNTA(A58:D58)+COUNTA(G58:S58)=0,"",IF(OR(A58="",B58="",C58="",D58="",G58="",H58="",J58="",R58=""),"缺少必填项",IF(COUNTIF($A$4:$A$203,A58)&gt;1,"全局队伍ID重复",IF(COUNTIF('学校信息'!$A$4:$A$53,B58)=0,"学校ID不存在",IF(COUNTIFS($B$4:$B$203,B58,$G$4:$G$203,G58,$R$4:$R$203,"启用")&gt;1,"同校Hydro UID重复","通过")))))</x:f>
      </x:c>
    </x:row>
    <x:row r="59" ht="22" customHeight="1">
      <x:c r="A59" s="70"/>
      <x:c r="B59" s="70"/>
      <x:c r="C59" s="70"/>
      <x:c r="D59" s="70"/>
      <x:c r="E59" s="71" t="str">
        <x:f>IFERROR(INDEX('学校信息'!$F$4:$F$53,MATCH(B59,'学校信息'!$A$4:$A$53,0)),"")</x:f>
      </x:c>
      <x:c r="F59" s="71" t="str">
        <x:f>IFERROR(INDEX('学校信息'!$G$4:$G$53,MATCH(B59,'学校信息'!$A$4:$A$53,0)),"")</x:f>
      </x:c>
      <x:c r="G59" s="75"/>
      <x:c r="H59" s="70"/>
      <x:c r="I59" s="70"/>
      <x:c r="J59" s="28"/>
      <x:c r="K59" s="70"/>
      <x:c r="L59" s="70"/>
      <x:c r="M59" s="70"/>
      <x:c r="N59" s="70"/>
      <x:c r="O59" s="70"/>
      <x:c r="P59" s="28"/>
      <x:c r="Q59" s="70"/>
      <x:c r="R59" s="28"/>
      <x:c r="S59" s="28"/>
      <x:c r="T59" s="60" t="str">
        <x:f>IF(COUNTA(A59:D59)+COUNTA(G59:S59)=0,"",IF(OR(A59="",B59="",C59="",D59="",G59="",H59="",J59="",R59=""),"缺少必填项",IF(COUNTIF($A$4:$A$203,A59)&gt;1,"全局队伍ID重复",IF(COUNTIF('学校信息'!$A$4:$A$53,B59)=0,"学校ID不存在",IF(COUNTIFS($B$4:$B$203,B59,$G$4:$G$203,G59,$R$4:$R$203,"启用")&gt;1,"同校Hydro UID重复","通过")))))</x:f>
      </x:c>
    </x:row>
    <x:row r="60" ht="22" customHeight="1">
      <x:c r="A60" s="70"/>
      <x:c r="B60" s="70"/>
      <x:c r="C60" s="70"/>
      <x:c r="D60" s="70"/>
      <x:c r="E60" s="71" t="str">
        <x:f>IFERROR(INDEX('学校信息'!$F$4:$F$53,MATCH(B60,'学校信息'!$A$4:$A$53,0)),"")</x:f>
      </x:c>
      <x:c r="F60" s="71" t="str">
        <x:f>IFERROR(INDEX('学校信息'!$G$4:$G$53,MATCH(B60,'学校信息'!$A$4:$A$53,0)),"")</x:f>
      </x:c>
      <x:c r="G60" s="75"/>
      <x:c r="H60" s="70"/>
      <x:c r="I60" s="70"/>
      <x:c r="J60" s="28"/>
      <x:c r="K60" s="70"/>
      <x:c r="L60" s="70"/>
      <x:c r="M60" s="70"/>
      <x:c r="N60" s="70"/>
      <x:c r="O60" s="70"/>
      <x:c r="P60" s="28"/>
      <x:c r="Q60" s="70"/>
      <x:c r="R60" s="28"/>
      <x:c r="S60" s="28"/>
      <x:c r="T60" s="60" t="str">
        <x:f>IF(COUNTA(A60:D60)+COUNTA(G60:S60)=0,"",IF(OR(A60="",B60="",C60="",D60="",G60="",H60="",J60="",R60=""),"缺少必填项",IF(COUNTIF($A$4:$A$203,A60)&gt;1,"全局队伍ID重复",IF(COUNTIF('学校信息'!$A$4:$A$53,B60)=0,"学校ID不存在",IF(COUNTIFS($B$4:$B$203,B60,$G$4:$G$203,G60,$R$4:$R$203,"启用")&gt;1,"同校Hydro UID重复","通过")))))</x:f>
      </x:c>
    </x:row>
    <x:row r="61" ht="22" customHeight="1">
      <x:c r="A61" s="70"/>
      <x:c r="B61" s="70"/>
      <x:c r="C61" s="70"/>
      <x:c r="D61" s="70"/>
      <x:c r="E61" s="71" t="str">
        <x:f>IFERROR(INDEX('学校信息'!$F$4:$F$53,MATCH(B61,'学校信息'!$A$4:$A$53,0)),"")</x:f>
      </x:c>
      <x:c r="F61" s="71" t="str">
        <x:f>IFERROR(INDEX('学校信息'!$G$4:$G$53,MATCH(B61,'学校信息'!$A$4:$A$53,0)),"")</x:f>
      </x:c>
      <x:c r="G61" s="75"/>
      <x:c r="H61" s="70"/>
      <x:c r="I61" s="70"/>
      <x:c r="J61" s="28"/>
      <x:c r="K61" s="70"/>
      <x:c r="L61" s="70"/>
      <x:c r="M61" s="70"/>
      <x:c r="N61" s="70"/>
      <x:c r="O61" s="70"/>
      <x:c r="P61" s="28"/>
      <x:c r="Q61" s="70"/>
      <x:c r="R61" s="28"/>
      <x:c r="S61" s="28"/>
      <x:c r="T61" s="60" t="str">
        <x:f>IF(COUNTA(A61:D61)+COUNTA(G61:S61)=0,"",IF(OR(A61="",B61="",C61="",D61="",G61="",H61="",J61="",R61=""),"缺少必填项",IF(COUNTIF($A$4:$A$203,A61)&gt;1,"全局队伍ID重复",IF(COUNTIF('学校信息'!$A$4:$A$53,B61)=0,"学校ID不存在",IF(COUNTIFS($B$4:$B$203,B61,$G$4:$G$203,G61,$R$4:$R$203,"启用")&gt;1,"同校Hydro UID重复","通过")))))</x:f>
      </x:c>
    </x:row>
    <x:row r="62" ht="22" customHeight="1">
      <x:c r="A62" s="70"/>
      <x:c r="B62" s="70"/>
      <x:c r="C62" s="70"/>
      <x:c r="D62" s="70"/>
      <x:c r="E62" s="71" t="str">
        <x:f>IFERROR(INDEX('学校信息'!$F$4:$F$53,MATCH(B62,'学校信息'!$A$4:$A$53,0)),"")</x:f>
      </x:c>
      <x:c r="F62" s="71" t="str">
        <x:f>IFERROR(INDEX('学校信息'!$G$4:$G$53,MATCH(B62,'学校信息'!$A$4:$A$53,0)),"")</x:f>
      </x:c>
      <x:c r="G62" s="75"/>
      <x:c r="H62" s="70"/>
      <x:c r="I62" s="70"/>
      <x:c r="J62" s="28"/>
      <x:c r="K62" s="70"/>
      <x:c r="L62" s="70"/>
      <x:c r="M62" s="70"/>
      <x:c r="N62" s="70"/>
      <x:c r="O62" s="70"/>
      <x:c r="P62" s="28"/>
      <x:c r="Q62" s="70"/>
      <x:c r="R62" s="28"/>
      <x:c r="S62" s="28"/>
      <x:c r="T62" s="60" t="str">
        <x:f>IF(COUNTA(A62:D62)+COUNTA(G62:S62)=0,"",IF(OR(A62="",B62="",C62="",D62="",G62="",H62="",J62="",R62=""),"缺少必填项",IF(COUNTIF($A$4:$A$203,A62)&gt;1,"全局队伍ID重复",IF(COUNTIF('学校信息'!$A$4:$A$53,B62)=0,"学校ID不存在",IF(COUNTIFS($B$4:$B$203,B62,$G$4:$G$203,G62,$R$4:$R$203,"启用")&gt;1,"同校Hydro UID重复","通过")))))</x:f>
      </x:c>
    </x:row>
    <x:row r="63" ht="22" customHeight="1">
      <x:c r="A63" s="70"/>
      <x:c r="B63" s="70"/>
      <x:c r="C63" s="70"/>
      <x:c r="D63" s="70"/>
      <x:c r="E63" s="71" t="str">
        <x:f>IFERROR(INDEX('学校信息'!$F$4:$F$53,MATCH(B63,'学校信息'!$A$4:$A$53,0)),"")</x:f>
      </x:c>
      <x:c r="F63" s="71" t="str">
        <x:f>IFERROR(INDEX('学校信息'!$G$4:$G$53,MATCH(B63,'学校信息'!$A$4:$A$53,0)),"")</x:f>
      </x:c>
      <x:c r="G63" s="75"/>
      <x:c r="H63" s="70"/>
      <x:c r="I63" s="70"/>
      <x:c r="J63" s="28"/>
      <x:c r="K63" s="70"/>
      <x:c r="L63" s="70"/>
      <x:c r="M63" s="70"/>
      <x:c r="N63" s="70"/>
      <x:c r="O63" s="70"/>
      <x:c r="P63" s="28"/>
      <x:c r="Q63" s="70"/>
      <x:c r="R63" s="28"/>
      <x:c r="S63" s="28"/>
      <x:c r="T63" s="60" t="str">
        <x:f>IF(COUNTA(A63:D63)+COUNTA(G63:S63)=0,"",IF(OR(A63="",B63="",C63="",D63="",G63="",H63="",J63="",R63=""),"缺少必填项",IF(COUNTIF($A$4:$A$203,A63)&gt;1,"全局队伍ID重复",IF(COUNTIF('学校信息'!$A$4:$A$53,B63)=0,"学校ID不存在",IF(COUNTIFS($B$4:$B$203,B63,$G$4:$G$203,G63,$R$4:$R$203,"启用")&gt;1,"同校Hydro UID重复","通过")))))</x:f>
      </x:c>
    </x:row>
    <x:row r="64" ht="22" customHeight="1">
      <x:c r="A64" s="70"/>
      <x:c r="B64" s="70"/>
      <x:c r="C64" s="70"/>
      <x:c r="D64" s="70"/>
      <x:c r="E64" s="71" t="str">
        <x:f>IFERROR(INDEX('学校信息'!$F$4:$F$53,MATCH(B64,'学校信息'!$A$4:$A$53,0)),"")</x:f>
      </x:c>
      <x:c r="F64" s="71" t="str">
        <x:f>IFERROR(INDEX('学校信息'!$G$4:$G$53,MATCH(B64,'学校信息'!$A$4:$A$53,0)),"")</x:f>
      </x:c>
      <x:c r="G64" s="75"/>
      <x:c r="H64" s="70"/>
      <x:c r="I64" s="70"/>
      <x:c r="J64" s="28"/>
      <x:c r="K64" s="70"/>
      <x:c r="L64" s="70"/>
      <x:c r="M64" s="70"/>
      <x:c r="N64" s="70"/>
      <x:c r="O64" s="70"/>
      <x:c r="P64" s="28"/>
      <x:c r="Q64" s="70"/>
      <x:c r="R64" s="28"/>
      <x:c r="S64" s="28"/>
      <x:c r="T64" s="60" t="str">
        <x:f>IF(COUNTA(A64:D64)+COUNTA(G64:S64)=0,"",IF(OR(A64="",B64="",C64="",D64="",G64="",H64="",J64="",R64=""),"缺少必填项",IF(COUNTIF($A$4:$A$203,A64)&gt;1,"全局队伍ID重复",IF(COUNTIF('学校信息'!$A$4:$A$53,B64)=0,"学校ID不存在",IF(COUNTIFS($B$4:$B$203,B64,$G$4:$G$203,G64,$R$4:$R$203,"启用")&gt;1,"同校Hydro UID重复","通过")))))</x:f>
      </x:c>
    </x:row>
    <x:row r="65" ht="22" customHeight="1">
      <x:c r="A65" s="70"/>
      <x:c r="B65" s="70"/>
      <x:c r="C65" s="70"/>
      <x:c r="D65" s="70"/>
      <x:c r="E65" s="71" t="str">
        <x:f>IFERROR(INDEX('学校信息'!$F$4:$F$53,MATCH(B65,'学校信息'!$A$4:$A$53,0)),"")</x:f>
      </x:c>
      <x:c r="F65" s="71" t="str">
        <x:f>IFERROR(INDEX('学校信息'!$G$4:$G$53,MATCH(B65,'学校信息'!$A$4:$A$53,0)),"")</x:f>
      </x:c>
      <x:c r="G65" s="75"/>
      <x:c r="H65" s="70"/>
      <x:c r="I65" s="70"/>
      <x:c r="J65" s="28"/>
      <x:c r="K65" s="70"/>
      <x:c r="L65" s="70"/>
      <x:c r="M65" s="70"/>
      <x:c r="N65" s="70"/>
      <x:c r="O65" s="70"/>
      <x:c r="P65" s="28"/>
      <x:c r="Q65" s="70"/>
      <x:c r="R65" s="28"/>
      <x:c r="S65" s="28"/>
      <x:c r="T65" s="60" t="str">
        <x:f>IF(COUNTA(A65:D65)+COUNTA(G65:S65)=0,"",IF(OR(A65="",B65="",C65="",D65="",G65="",H65="",J65="",R65=""),"缺少必填项",IF(COUNTIF($A$4:$A$203,A65)&gt;1,"全局队伍ID重复",IF(COUNTIF('学校信息'!$A$4:$A$53,B65)=0,"学校ID不存在",IF(COUNTIFS($B$4:$B$203,B65,$G$4:$G$203,G65,$R$4:$R$203,"启用")&gt;1,"同校Hydro UID重复","通过")))))</x:f>
      </x:c>
    </x:row>
    <x:row r="66" ht="22" customHeight="1">
      <x:c r="A66" s="70"/>
      <x:c r="B66" s="70"/>
      <x:c r="C66" s="70"/>
      <x:c r="D66" s="70"/>
      <x:c r="E66" s="71" t="str">
        <x:f>IFERROR(INDEX('学校信息'!$F$4:$F$53,MATCH(B66,'学校信息'!$A$4:$A$53,0)),"")</x:f>
      </x:c>
      <x:c r="F66" s="71" t="str">
        <x:f>IFERROR(INDEX('学校信息'!$G$4:$G$53,MATCH(B66,'学校信息'!$A$4:$A$53,0)),"")</x:f>
      </x:c>
      <x:c r="G66" s="75"/>
      <x:c r="H66" s="70"/>
      <x:c r="I66" s="70"/>
      <x:c r="J66" s="28"/>
      <x:c r="K66" s="70"/>
      <x:c r="L66" s="70"/>
      <x:c r="M66" s="70"/>
      <x:c r="N66" s="70"/>
      <x:c r="O66" s="70"/>
      <x:c r="P66" s="28"/>
      <x:c r="Q66" s="70"/>
      <x:c r="R66" s="28"/>
      <x:c r="S66" s="28"/>
      <x:c r="T66" s="60" t="str">
        <x:f>IF(COUNTA(A66:D66)+COUNTA(G66:S66)=0,"",IF(OR(A66="",B66="",C66="",D66="",G66="",H66="",J66="",R66=""),"缺少必填项",IF(COUNTIF($A$4:$A$203,A66)&gt;1,"全局队伍ID重复",IF(COUNTIF('学校信息'!$A$4:$A$53,B66)=0,"学校ID不存在",IF(COUNTIFS($B$4:$B$203,B66,$G$4:$G$203,G66,$R$4:$R$203,"启用")&gt;1,"同校Hydro UID重复","通过")))))</x:f>
      </x:c>
    </x:row>
    <x:row r="67" ht="22" customHeight="1">
      <x:c r="A67" s="70"/>
      <x:c r="B67" s="70"/>
      <x:c r="C67" s="70"/>
      <x:c r="D67" s="70"/>
      <x:c r="E67" s="71" t="str">
        <x:f>IFERROR(INDEX('学校信息'!$F$4:$F$53,MATCH(B67,'学校信息'!$A$4:$A$53,0)),"")</x:f>
      </x:c>
      <x:c r="F67" s="71" t="str">
        <x:f>IFERROR(INDEX('学校信息'!$G$4:$G$53,MATCH(B67,'学校信息'!$A$4:$A$53,0)),"")</x:f>
      </x:c>
      <x:c r="G67" s="75"/>
      <x:c r="H67" s="70"/>
      <x:c r="I67" s="70"/>
      <x:c r="J67" s="28"/>
      <x:c r="K67" s="70"/>
      <x:c r="L67" s="70"/>
      <x:c r="M67" s="70"/>
      <x:c r="N67" s="70"/>
      <x:c r="O67" s="70"/>
      <x:c r="P67" s="28"/>
      <x:c r="Q67" s="70"/>
      <x:c r="R67" s="28"/>
      <x:c r="S67" s="28"/>
      <x:c r="T67" s="60" t="str">
        <x:f>IF(COUNTA(A67:D67)+COUNTA(G67:S67)=0,"",IF(OR(A67="",B67="",C67="",D67="",G67="",H67="",J67="",R67=""),"缺少必填项",IF(COUNTIF($A$4:$A$203,A67)&gt;1,"全局队伍ID重复",IF(COUNTIF('学校信息'!$A$4:$A$53,B67)=0,"学校ID不存在",IF(COUNTIFS($B$4:$B$203,B67,$G$4:$G$203,G67,$R$4:$R$203,"启用")&gt;1,"同校Hydro UID重复","通过")))))</x:f>
      </x:c>
    </x:row>
    <x:row r="68" ht="22" customHeight="1">
      <x:c r="A68" s="70"/>
      <x:c r="B68" s="70"/>
      <x:c r="C68" s="70"/>
      <x:c r="D68" s="70"/>
      <x:c r="E68" s="71" t="str">
        <x:f>IFERROR(INDEX('学校信息'!$F$4:$F$53,MATCH(B68,'学校信息'!$A$4:$A$53,0)),"")</x:f>
      </x:c>
      <x:c r="F68" s="71" t="str">
        <x:f>IFERROR(INDEX('学校信息'!$G$4:$G$53,MATCH(B68,'学校信息'!$A$4:$A$53,0)),"")</x:f>
      </x:c>
      <x:c r="G68" s="75"/>
      <x:c r="H68" s="70"/>
      <x:c r="I68" s="70"/>
      <x:c r="J68" s="28"/>
      <x:c r="K68" s="70"/>
      <x:c r="L68" s="70"/>
      <x:c r="M68" s="70"/>
      <x:c r="N68" s="70"/>
      <x:c r="O68" s="70"/>
      <x:c r="P68" s="28"/>
      <x:c r="Q68" s="70"/>
      <x:c r="R68" s="28"/>
      <x:c r="S68" s="28"/>
      <x:c r="T68" s="60" t="str">
        <x:f>IF(COUNTA(A68:D68)+COUNTA(G68:S68)=0,"",IF(OR(A68="",B68="",C68="",D68="",G68="",H68="",J68="",R68=""),"缺少必填项",IF(COUNTIF($A$4:$A$203,A68)&gt;1,"全局队伍ID重复",IF(COUNTIF('学校信息'!$A$4:$A$53,B68)=0,"学校ID不存在",IF(COUNTIFS($B$4:$B$203,B68,$G$4:$G$203,G68,$R$4:$R$203,"启用")&gt;1,"同校Hydro UID重复","通过")))))</x:f>
      </x:c>
    </x:row>
    <x:row r="69" ht="22" customHeight="1">
      <x:c r="A69" s="70"/>
      <x:c r="B69" s="70"/>
      <x:c r="C69" s="70"/>
      <x:c r="D69" s="70"/>
      <x:c r="E69" s="71" t="str">
        <x:f>IFERROR(INDEX('学校信息'!$F$4:$F$53,MATCH(B69,'学校信息'!$A$4:$A$53,0)),"")</x:f>
      </x:c>
      <x:c r="F69" s="71" t="str">
        <x:f>IFERROR(INDEX('学校信息'!$G$4:$G$53,MATCH(B69,'学校信息'!$A$4:$A$53,0)),"")</x:f>
      </x:c>
      <x:c r="G69" s="75"/>
      <x:c r="H69" s="70"/>
      <x:c r="I69" s="70"/>
      <x:c r="J69" s="28"/>
      <x:c r="K69" s="70"/>
      <x:c r="L69" s="70"/>
      <x:c r="M69" s="70"/>
      <x:c r="N69" s="70"/>
      <x:c r="O69" s="70"/>
      <x:c r="P69" s="28"/>
      <x:c r="Q69" s="70"/>
      <x:c r="R69" s="28"/>
      <x:c r="S69" s="28"/>
      <x:c r="T69" s="60" t="str">
        <x:f>IF(COUNTA(A69:D69)+COUNTA(G69:S69)=0,"",IF(OR(A69="",B69="",C69="",D69="",G69="",H69="",J69="",R69=""),"缺少必填项",IF(COUNTIF($A$4:$A$203,A69)&gt;1,"全局队伍ID重复",IF(COUNTIF('学校信息'!$A$4:$A$53,B69)=0,"学校ID不存在",IF(COUNTIFS($B$4:$B$203,B69,$G$4:$G$203,G69,$R$4:$R$203,"启用")&gt;1,"同校Hydro UID重复","通过")))))</x:f>
      </x:c>
    </x:row>
    <x:row r="70" ht="22" customHeight="1">
      <x:c r="A70" s="70"/>
      <x:c r="B70" s="70"/>
      <x:c r="C70" s="70"/>
      <x:c r="D70" s="70"/>
      <x:c r="E70" s="71" t="str">
        <x:f>IFERROR(INDEX('学校信息'!$F$4:$F$53,MATCH(B70,'学校信息'!$A$4:$A$53,0)),"")</x:f>
      </x:c>
      <x:c r="F70" s="71" t="str">
        <x:f>IFERROR(INDEX('学校信息'!$G$4:$G$53,MATCH(B70,'学校信息'!$A$4:$A$53,0)),"")</x:f>
      </x:c>
      <x:c r="G70" s="75"/>
      <x:c r="H70" s="70"/>
      <x:c r="I70" s="70"/>
      <x:c r="J70" s="28"/>
      <x:c r="K70" s="70"/>
      <x:c r="L70" s="70"/>
      <x:c r="M70" s="70"/>
      <x:c r="N70" s="70"/>
      <x:c r="O70" s="70"/>
      <x:c r="P70" s="28"/>
      <x:c r="Q70" s="70"/>
      <x:c r="R70" s="28"/>
      <x:c r="S70" s="28"/>
      <x:c r="T70" s="60" t="str">
        <x:f>IF(COUNTA(A70:D70)+COUNTA(G70:S70)=0,"",IF(OR(A70="",B70="",C70="",D70="",G70="",H70="",J70="",R70=""),"缺少必填项",IF(COUNTIF($A$4:$A$203,A70)&gt;1,"全局队伍ID重复",IF(COUNTIF('学校信息'!$A$4:$A$53,B70)=0,"学校ID不存在",IF(COUNTIFS($B$4:$B$203,B70,$G$4:$G$203,G70,$R$4:$R$203,"启用")&gt;1,"同校Hydro UID重复","通过")))))</x:f>
      </x:c>
    </x:row>
    <x:row r="71" ht="22" customHeight="1">
      <x:c r="A71" s="70"/>
      <x:c r="B71" s="70"/>
      <x:c r="C71" s="70"/>
      <x:c r="D71" s="70"/>
      <x:c r="E71" s="71" t="str">
        <x:f>IFERROR(INDEX('学校信息'!$F$4:$F$53,MATCH(B71,'学校信息'!$A$4:$A$53,0)),"")</x:f>
      </x:c>
      <x:c r="F71" s="71" t="str">
        <x:f>IFERROR(INDEX('学校信息'!$G$4:$G$53,MATCH(B71,'学校信息'!$A$4:$A$53,0)),"")</x:f>
      </x:c>
      <x:c r="G71" s="75"/>
      <x:c r="H71" s="70"/>
      <x:c r="I71" s="70"/>
      <x:c r="J71" s="28"/>
      <x:c r="K71" s="70"/>
      <x:c r="L71" s="70"/>
      <x:c r="M71" s="70"/>
      <x:c r="N71" s="70"/>
      <x:c r="O71" s="70"/>
      <x:c r="P71" s="28"/>
      <x:c r="Q71" s="70"/>
      <x:c r="R71" s="28"/>
      <x:c r="S71" s="28"/>
      <x:c r="T71" s="60" t="str">
        <x:f>IF(COUNTA(A71:D71)+COUNTA(G71:S71)=0,"",IF(OR(A71="",B71="",C71="",D71="",G71="",H71="",J71="",R71=""),"缺少必填项",IF(COUNTIF($A$4:$A$203,A71)&gt;1,"全局队伍ID重复",IF(COUNTIF('学校信息'!$A$4:$A$53,B71)=0,"学校ID不存在",IF(COUNTIFS($B$4:$B$203,B71,$G$4:$G$203,G71,$R$4:$R$203,"启用")&gt;1,"同校Hydro UID重复","通过")))))</x:f>
      </x:c>
    </x:row>
    <x:row r="72" ht="22" customHeight="1">
      <x:c r="A72" s="70"/>
      <x:c r="B72" s="70"/>
      <x:c r="C72" s="70"/>
      <x:c r="D72" s="70"/>
      <x:c r="E72" s="71" t="str">
        <x:f>IFERROR(INDEX('学校信息'!$F$4:$F$53,MATCH(B72,'学校信息'!$A$4:$A$53,0)),"")</x:f>
      </x:c>
      <x:c r="F72" s="71" t="str">
        <x:f>IFERROR(INDEX('学校信息'!$G$4:$G$53,MATCH(B72,'学校信息'!$A$4:$A$53,0)),"")</x:f>
      </x:c>
      <x:c r="G72" s="75"/>
      <x:c r="H72" s="70"/>
      <x:c r="I72" s="70"/>
      <x:c r="J72" s="28"/>
      <x:c r="K72" s="70"/>
      <x:c r="L72" s="70"/>
      <x:c r="M72" s="70"/>
      <x:c r="N72" s="70"/>
      <x:c r="O72" s="70"/>
      <x:c r="P72" s="28"/>
      <x:c r="Q72" s="70"/>
      <x:c r="R72" s="28"/>
      <x:c r="S72" s="28"/>
      <x:c r="T72" s="60" t="str">
        <x:f>IF(COUNTA(A72:D72)+COUNTA(G72:S72)=0,"",IF(OR(A72="",B72="",C72="",D72="",G72="",H72="",J72="",R72=""),"缺少必填项",IF(COUNTIF($A$4:$A$203,A72)&gt;1,"全局队伍ID重复",IF(COUNTIF('学校信息'!$A$4:$A$53,B72)=0,"学校ID不存在",IF(COUNTIFS($B$4:$B$203,B72,$G$4:$G$203,G72,$R$4:$R$203,"启用")&gt;1,"同校Hydro UID重复","通过")))))</x:f>
      </x:c>
    </x:row>
    <x:row r="73" ht="22" customHeight="1">
      <x:c r="A73" s="70"/>
      <x:c r="B73" s="70"/>
      <x:c r="C73" s="70"/>
      <x:c r="D73" s="70"/>
      <x:c r="E73" s="71" t="str">
        <x:f>IFERROR(INDEX('学校信息'!$F$4:$F$53,MATCH(B73,'学校信息'!$A$4:$A$53,0)),"")</x:f>
      </x:c>
      <x:c r="F73" s="71" t="str">
        <x:f>IFERROR(INDEX('学校信息'!$G$4:$G$53,MATCH(B73,'学校信息'!$A$4:$A$53,0)),"")</x:f>
      </x:c>
      <x:c r="G73" s="75"/>
      <x:c r="H73" s="70"/>
      <x:c r="I73" s="70"/>
      <x:c r="J73" s="28"/>
      <x:c r="K73" s="70"/>
      <x:c r="L73" s="70"/>
      <x:c r="M73" s="70"/>
      <x:c r="N73" s="70"/>
      <x:c r="O73" s="70"/>
      <x:c r="P73" s="28"/>
      <x:c r="Q73" s="70"/>
      <x:c r="R73" s="28"/>
      <x:c r="S73" s="28"/>
      <x:c r="T73" s="60" t="str">
        <x:f>IF(COUNTA(A73:D73)+COUNTA(G73:S73)=0,"",IF(OR(A73="",B73="",C73="",D73="",G73="",H73="",J73="",R73=""),"缺少必填项",IF(COUNTIF($A$4:$A$203,A73)&gt;1,"全局队伍ID重复",IF(COUNTIF('学校信息'!$A$4:$A$53,B73)=0,"学校ID不存在",IF(COUNTIFS($B$4:$B$203,B73,$G$4:$G$203,G73,$R$4:$R$203,"启用")&gt;1,"同校Hydro UID重复","通过")))))</x:f>
      </x:c>
    </x:row>
    <x:row r="74" ht="22" customHeight="1">
      <x:c r="A74" s="70"/>
      <x:c r="B74" s="70"/>
      <x:c r="C74" s="70"/>
      <x:c r="D74" s="70"/>
      <x:c r="E74" s="71" t="str">
        <x:f>IFERROR(INDEX('学校信息'!$F$4:$F$53,MATCH(B74,'学校信息'!$A$4:$A$53,0)),"")</x:f>
      </x:c>
      <x:c r="F74" s="71" t="str">
        <x:f>IFERROR(INDEX('学校信息'!$G$4:$G$53,MATCH(B74,'学校信息'!$A$4:$A$53,0)),"")</x:f>
      </x:c>
      <x:c r="G74" s="75"/>
      <x:c r="H74" s="70"/>
      <x:c r="I74" s="70"/>
      <x:c r="J74" s="28"/>
      <x:c r="K74" s="70"/>
      <x:c r="L74" s="70"/>
      <x:c r="M74" s="70"/>
      <x:c r="N74" s="70"/>
      <x:c r="O74" s="70"/>
      <x:c r="P74" s="28"/>
      <x:c r="Q74" s="70"/>
      <x:c r="R74" s="28"/>
      <x:c r="S74" s="28"/>
      <x:c r="T74" s="60" t="str">
        <x:f>IF(COUNTA(A74:D74)+COUNTA(G74:S74)=0,"",IF(OR(A74="",B74="",C74="",D74="",G74="",H74="",J74="",R74=""),"缺少必填项",IF(COUNTIF($A$4:$A$203,A74)&gt;1,"全局队伍ID重复",IF(COUNTIF('学校信息'!$A$4:$A$53,B74)=0,"学校ID不存在",IF(COUNTIFS($B$4:$B$203,B74,$G$4:$G$203,G74,$R$4:$R$203,"启用")&gt;1,"同校Hydro UID重复","通过")))))</x:f>
      </x:c>
    </x:row>
    <x:row r="75" ht="22" customHeight="1">
      <x:c r="A75" s="70"/>
      <x:c r="B75" s="70"/>
      <x:c r="C75" s="70"/>
      <x:c r="D75" s="70"/>
      <x:c r="E75" s="71" t="str">
        <x:f>IFERROR(INDEX('学校信息'!$F$4:$F$53,MATCH(B75,'学校信息'!$A$4:$A$53,0)),"")</x:f>
      </x:c>
      <x:c r="F75" s="71" t="str">
        <x:f>IFERROR(INDEX('学校信息'!$G$4:$G$53,MATCH(B75,'学校信息'!$A$4:$A$53,0)),"")</x:f>
      </x:c>
      <x:c r="G75" s="75"/>
      <x:c r="H75" s="70"/>
      <x:c r="I75" s="70"/>
      <x:c r="J75" s="28"/>
      <x:c r="K75" s="70"/>
      <x:c r="L75" s="70"/>
      <x:c r="M75" s="70"/>
      <x:c r="N75" s="70"/>
      <x:c r="O75" s="70"/>
      <x:c r="P75" s="28"/>
      <x:c r="Q75" s="70"/>
      <x:c r="R75" s="28"/>
      <x:c r="S75" s="28"/>
      <x:c r="T75" s="60" t="str">
        <x:f>IF(COUNTA(A75:D75)+COUNTA(G75:S75)=0,"",IF(OR(A75="",B75="",C75="",D75="",G75="",H75="",J75="",R75=""),"缺少必填项",IF(COUNTIF($A$4:$A$203,A75)&gt;1,"全局队伍ID重复",IF(COUNTIF('学校信息'!$A$4:$A$53,B75)=0,"学校ID不存在",IF(COUNTIFS($B$4:$B$203,B75,$G$4:$G$203,G75,$R$4:$R$203,"启用")&gt;1,"同校Hydro UID重复","通过")))))</x:f>
      </x:c>
    </x:row>
    <x:row r="76" ht="22" customHeight="1">
      <x:c r="A76" s="70"/>
      <x:c r="B76" s="70"/>
      <x:c r="C76" s="70"/>
      <x:c r="D76" s="70"/>
      <x:c r="E76" s="71" t="str">
        <x:f>IFERROR(INDEX('学校信息'!$F$4:$F$53,MATCH(B76,'学校信息'!$A$4:$A$53,0)),"")</x:f>
      </x:c>
      <x:c r="F76" s="71" t="str">
        <x:f>IFERROR(INDEX('学校信息'!$G$4:$G$53,MATCH(B76,'学校信息'!$A$4:$A$53,0)),"")</x:f>
      </x:c>
      <x:c r="G76" s="75"/>
      <x:c r="H76" s="70"/>
      <x:c r="I76" s="70"/>
      <x:c r="J76" s="28"/>
      <x:c r="K76" s="70"/>
      <x:c r="L76" s="70"/>
      <x:c r="M76" s="70"/>
      <x:c r="N76" s="70"/>
      <x:c r="O76" s="70"/>
      <x:c r="P76" s="28"/>
      <x:c r="Q76" s="70"/>
      <x:c r="R76" s="28"/>
      <x:c r="S76" s="28"/>
      <x:c r="T76" s="60" t="str">
        <x:f>IF(COUNTA(A76:D76)+COUNTA(G76:S76)=0,"",IF(OR(A76="",B76="",C76="",D76="",G76="",H76="",J76="",R76=""),"缺少必填项",IF(COUNTIF($A$4:$A$203,A76)&gt;1,"全局队伍ID重复",IF(COUNTIF('学校信息'!$A$4:$A$53,B76)=0,"学校ID不存在",IF(COUNTIFS($B$4:$B$203,B76,$G$4:$G$203,G76,$R$4:$R$203,"启用")&gt;1,"同校Hydro UID重复","通过")))))</x:f>
      </x:c>
    </x:row>
    <x:row r="77" ht="22" customHeight="1">
      <x:c r="A77" s="70"/>
      <x:c r="B77" s="70"/>
      <x:c r="C77" s="70"/>
      <x:c r="D77" s="70"/>
      <x:c r="E77" s="71" t="str">
        <x:f>IFERROR(INDEX('学校信息'!$F$4:$F$53,MATCH(B77,'学校信息'!$A$4:$A$53,0)),"")</x:f>
      </x:c>
      <x:c r="F77" s="71" t="str">
        <x:f>IFERROR(INDEX('学校信息'!$G$4:$G$53,MATCH(B77,'学校信息'!$A$4:$A$53,0)),"")</x:f>
      </x:c>
      <x:c r="G77" s="75"/>
      <x:c r="H77" s="70"/>
      <x:c r="I77" s="70"/>
      <x:c r="J77" s="28"/>
      <x:c r="K77" s="70"/>
      <x:c r="L77" s="70"/>
      <x:c r="M77" s="70"/>
      <x:c r="N77" s="70"/>
      <x:c r="O77" s="70"/>
      <x:c r="P77" s="28"/>
      <x:c r="Q77" s="70"/>
      <x:c r="R77" s="28"/>
      <x:c r="S77" s="28"/>
      <x:c r="T77" s="60" t="str">
        <x:f>IF(COUNTA(A77:D77)+COUNTA(G77:S77)=0,"",IF(OR(A77="",B77="",C77="",D77="",G77="",H77="",J77="",R77=""),"缺少必填项",IF(COUNTIF($A$4:$A$203,A77)&gt;1,"全局队伍ID重复",IF(COUNTIF('学校信息'!$A$4:$A$53,B77)=0,"学校ID不存在",IF(COUNTIFS($B$4:$B$203,B77,$G$4:$G$203,G77,$R$4:$R$203,"启用")&gt;1,"同校Hydro UID重复","通过")))))</x:f>
      </x:c>
    </x:row>
    <x:row r="78" ht="22" customHeight="1">
      <x:c r="A78" s="70"/>
      <x:c r="B78" s="70"/>
      <x:c r="C78" s="70"/>
      <x:c r="D78" s="70"/>
      <x:c r="E78" s="71" t="str">
        <x:f>IFERROR(INDEX('学校信息'!$F$4:$F$53,MATCH(B78,'学校信息'!$A$4:$A$53,0)),"")</x:f>
      </x:c>
      <x:c r="F78" s="71" t="str">
        <x:f>IFERROR(INDEX('学校信息'!$G$4:$G$53,MATCH(B78,'学校信息'!$A$4:$A$53,0)),"")</x:f>
      </x:c>
      <x:c r="G78" s="75"/>
      <x:c r="H78" s="70"/>
      <x:c r="I78" s="70"/>
      <x:c r="J78" s="28"/>
      <x:c r="K78" s="70"/>
      <x:c r="L78" s="70"/>
      <x:c r="M78" s="70"/>
      <x:c r="N78" s="70"/>
      <x:c r="O78" s="70"/>
      <x:c r="P78" s="28"/>
      <x:c r="Q78" s="70"/>
      <x:c r="R78" s="28"/>
      <x:c r="S78" s="28"/>
      <x:c r="T78" s="60" t="str">
        <x:f>IF(COUNTA(A78:D78)+COUNTA(G78:S78)=0,"",IF(OR(A78="",B78="",C78="",D78="",G78="",H78="",J78="",R78=""),"缺少必填项",IF(COUNTIF($A$4:$A$203,A78)&gt;1,"全局队伍ID重复",IF(COUNTIF('学校信息'!$A$4:$A$53,B78)=0,"学校ID不存在",IF(COUNTIFS($B$4:$B$203,B78,$G$4:$G$203,G78,$R$4:$R$203,"启用")&gt;1,"同校Hydro UID重复","通过")))))</x:f>
      </x:c>
    </x:row>
    <x:row r="79" ht="22" customHeight="1">
      <x:c r="A79" s="70"/>
      <x:c r="B79" s="70"/>
      <x:c r="C79" s="70"/>
      <x:c r="D79" s="70"/>
      <x:c r="E79" s="71" t="str">
        <x:f>IFERROR(INDEX('学校信息'!$F$4:$F$53,MATCH(B79,'学校信息'!$A$4:$A$53,0)),"")</x:f>
      </x:c>
      <x:c r="F79" s="71" t="str">
        <x:f>IFERROR(INDEX('学校信息'!$G$4:$G$53,MATCH(B79,'学校信息'!$A$4:$A$53,0)),"")</x:f>
      </x:c>
      <x:c r="G79" s="75"/>
      <x:c r="H79" s="70"/>
      <x:c r="I79" s="70"/>
      <x:c r="J79" s="28"/>
      <x:c r="K79" s="70"/>
      <x:c r="L79" s="70"/>
      <x:c r="M79" s="70"/>
      <x:c r="N79" s="70"/>
      <x:c r="O79" s="70"/>
      <x:c r="P79" s="28"/>
      <x:c r="Q79" s="70"/>
      <x:c r="R79" s="28"/>
      <x:c r="S79" s="28"/>
      <x:c r="T79" s="60" t="str">
        <x:f>IF(COUNTA(A79:D79)+COUNTA(G79:S79)=0,"",IF(OR(A79="",B79="",C79="",D79="",G79="",H79="",J79="",R79=""),"缺少必填项",IF(COUNTIF($A$4:$A$203,A79)&gt;1,"全局队伍ID重复",IF(COUNTIF('学校信息'!$A$4:$A$53,B79)=0,"学校ID不存在",IF(COUNTIFS($B$4:$B$203,B79,$G$4:$G$203,G79,$R$4:$R$203,"启用")&gt;1,"同校Hydro UID重复","通过")))))</x:f>
      </x:c>
    </x:row>
    <x:row r="80" ht="22" customHeight="1">
      <x:c r="A80" s="70"/>
      <x:c r="B80" s="70"/>
      <x:c r="C80" s="70"/>
      <x:c r="D80" s="70"/>
      <x:c r="E80" s="71" t="str">
        <x:f>IFERROR(INDEX('学校信息'!$F$4:$F$53,MATCH(B80,'学校信息'!$A$4:$A$53,0)),"")</x:f>
      </x:c>
      <x:c r="F80" s="71" t="str">
        <x:f>IFERROR(INDEX('学校信息'!$G$4:$G$53,MATCH(B80,'学校信息'!$A$4:$A$53,0)),"")</x:f>
      </x:c>
      <x:c r="G80" s="75"/>
      <x:c r="H80" s="70"/>
      <x:c r="I80" s="70"/>
      <x:c r="J80" s="28"/>
      <x:c r="K80" s="70"/>
      <x:c r="L80" s="70"/>
      <x:c r="M80" s="70"/>
      <x:c r="N80" s="70"/>
      <x:c r="O80" s="70"/>
      <x:c r="P80" s="28"/>
      <x:c r="Q80" s="70"/>
      <x:c r="R80" s="28"/>
      <x:c r="S80" s="28"/>
      <x:c r="T80" s="60" t="str">
        <x:f>IF(COUNTA(A80:D80)+COUNTA(G80:S80)=0,"",IF(OR(A80="",B80="",C80="",D80="",G80="",H80="",J80="",R80=""),"缺少必填项",IF(COUNTIF($A$4:$A$203,A80)&gt;1,"全局队伍ID重复",IF(COUNTIF('学校信息'!$A$4:$A$53,B80)=0,"学校ID不存在",IF(COUNTIFS($B$4:$B$203,B80,$G$4:$G$203,G80,$R$4:$R$203,"启用")&gt;1,"同校Hydro UID重复","通过")))))</x:f>
      </x:c>
    </x:row>
    <x:row r="81" ht="22" customHeight="1">
      <x:c r="A81" s="70"/>
      <x:c r="B81" s="70"/>
      <x:c r="C81" s="70"/>
      <x:c r="D81" s="70"/>
      <x:c r="E81" s="71" t="str">
        <x:f>IFERROR(INDEX('学校信息'!$F$4:$F$53,MATCH(B81,'学校信息'!$A$4:$A$53,0)),"")</x:f>
      </x:c>
      <x:c r="F81" s="71" t="str">
        <x:f>IFERROR(INDEX('学校信息'!$G$4:$G$53,MATCH(B81,'学校信息'!$A$4:$A$53,0)),"")</x:f>
      </x:c>
      <x:c r="G81" s="75"/>
      <x:c r="H81" s="70"/>
      <x:c r="I81" s="70"/>
      <x:c r="J81" s="28"/>
      <x:c r="K81" s="70"/>
      <x:c r="L81" s="70"/>
      <x:c r="M81" s="70"/>
      <x:c r="N81" s="70"/>
      <x:c r="O81" s="70"/>
      <x:c r="P81" s="28"/>
      <x:c r="Q81" s="70"/>
      <x:c r="R81" s="28"/>
      <x:c r="S81" s="28"/>
      <x:c r="T81" s="60" t="str">
        <x:f>IF(COUNTA(A81:D81)+COUNTA(G81:S81)=0,"",IF(OR(A81="",B81="",C81="",D81="",G81="",H81="",J81="",R81=""),"缺少必填项",IF(COUNTIF($A$4:$A$203,A81)&gt;1,"全局队伍ID重复",IF(COUNTIF('学校信息'!$A$4:$A$53,B81)=0,"学校ID不存在",IF(COUNTIFS($B$4:$B$203,B81,$G$4:$G$203,G81,$R$4:$R$203,"启用")&gt;1,"同校Hydro UID重复","通过")))))</x:f>
      </x:c>
    </x:row>
    <x:row r="82" ht="22" customHeight="1">
      <x:c r="A82" s="70"/>
      <x:c r="B82" s="70"/>
      <x:c r="C82" s="70"/>
      <x:c r="D82" s="70"/>
      <x:c r="E82" s="71" t="str">
        <x:f>IFERROR(INDEX('学校信息'!$F$4:$F$53,MATCH(B82,'学校信息'!$A$4:$A$53,0)),"")</x:f>
      </x:c>
      <x:c r="F82" s="71" t="str">
        <x:f>IFERROR(INDEX('学校信息'!$G$4:$G$53,MATCH(B82,'学校信息'!$A$4:$A$53,0)),"")</x:f>
      </x:c>
      <x:c r="G82" s="75"/>
      <x:c r="H82" s="70"/>
      <x:c r="I82" s="70"/>
      <x:c r="J82" s="28"/>
      <x:c r="K82" s="70"/>
      <x:c r="L82" s="70"/>
      <x:c r="M82" s="70"/>
      <x:c r="N82" s="70"/>
      <x:c r="O82" s="70"/>
      <x:c r="P82" s="28"/>
      <x:c r="Q82" s="70"/>
      <x:c r="R82" s="28"/>
      <x:c r="S82" s="28"/>
      <x:c r="T82" s="60" t="str">
        <x:f>IF(COUNTA(A82:D82)+COUNTA(G82:S82)=0,"",IF(OR(A82="",B82="",C82="",D82="",G82="",H82="",J82="",R82=""),"缺少必填项",IF(COUNTIF($A$4:$A$203,A82)&gt;1,"全局队伍ID重复",IF(COUNTIF('学校信息'!$A$4:$A$53,B82)=0,"学校ID不存在",IF(COUNTIFS($B$4:$B$203,B82,$G$4:$G$203,G82,$R$4:$R$203,"启用")&gt;1,"同校Hydro UID重复","通过")))))</x:f>
      </x:c>
    </x:row>
    <x:row r="83" ht="22" customHeight="1">
      <x:c r="A83" s="70"/>
      <x:c r="B83" s="70"/>
      <x:c r="C83" s="70"/>
      <x:c r="D83" s="70"/>
      <x:c r="E83" s="71" t="str">
        <x:f>IFERROR(INDEX('学校信息'!$F$4:$F$53,MATCH(B83,'学校信息'!$A$4:$A$53,0)),"")</x:f>
      </x:c>
      <x:c r="F83" s="71" t="str">
        <x:f>IFERROR(INDEX('学校信息'!$G$4:$G$53,MATCH(B83,'学校信息'!$A$4:$A$53,0)),"")</x:f>
      </x:c>
      <x:c r="G83" s="75"/>
      <x:c r="H83" s="70"/>
      <x:c r="I83" s="70"/>
      <x:c r="J83" s="28"/>
      <x:c r="K83" s="70"/>
      <x:c r="L83" s="70"/>
      <x:c r="M83" s="70"/>
      <x:c r="N83" s="70"/>
      <x:c r="O83" s="70"/>
      <x:c r="P83" s="28"/>
      <x:c r="Q83" s="70"/>
      <x:c r="R83" s="28"/>
      <x:c r="S83" s="28"/>
      <x:c r="T83" s="60" t="str">
        <x:f>IF(COUNTA(A83:D83)+COUNTA(G83:S83)=0,"",IF(OR(A83="",B83="",C83="",D83="",G83="",H83="",J83="",R83=""),"缺少必填项",IF(COUNTIF($A$4:$A$203,A83)&gt;1,"全局队伍ID重复",IF(COUNTIF('学校信息'!$A$4:$A$53,B83)=0,"学校ID不存在",IF(COUNTIFS($B$4:$B$203,B83,$G$4:$G$203,G83,$R$4:$R$203,"启用")&gt;1,"同校Hydro UID重复","通过")))))</x:f>
      </x:c>
    </x:row>
    <x:row r="84" ht="22" customHeight="1">
      <x:c r="A84" s="70"/>
      <x:c r="B84" s="70"/>
      <x:c r="C84" s="70"/>
      <x:c r="D84" s="70"/>
      <x:c r="E84" s="71" t="str">
        <x:f>IFERROR(INDEX('学校信息'!$F$4:$F$53,MATCH(B84,'学校信息'!$A$4:$A$53,0)),"")</x:f>
      </x:c>
      <x:c r="F84" s="71" t="str">
        <x:f>IFERROR(INDEX('学校信息'!$G$4:$G$53,MATCH(B84,'学校信息'!$A$4:$A$53,0)),"")</x:f>
      </x:c>
      <x:c r="G84" s="75"/>
      <x:c r="H84" s="70"/>
      <x:c r="I84" s="70"/>
      <x:c r="J84" s="28"/>
      <x:c r="K84" s="70"/>
      <x:c r="L84" s="70"/>
      <x:c r="M84" s="70"/>
      <x:c r="N84" s="70"/>
      <x:c r="O84" s="70"/>
      <x:c r="P84" s="28"/>
      <x:c r="Q84" s="70"/>
      <x:c r="R84" s="28"/>
      <x:c r="S84" s="28"/>
      <x:c r="T84" s="60" t="str">
        <x:f>IF(COUNTA(A84:D84)+COUNTA(G84:S84)=0,"",IF(OR(A84="",B84="",C84="",D84="",G84="",H84="",J84="",R84=""),"缺少必填项",IF(COUNTIF($A$4:$A$203,A84)&gt;1,"全局队伍ID重复",IF(COUNTIF('学校信息'!$A$4:$A$53,B84)=0,"学校ID不存在",IF(COUNTIFS($B$4:$B$203,B84,$G$4:$G$203,G84,$R$4:$R$203,"启用")&gt;1,"同校Hydro UID重复","通过")))))</x:f>
      </x:c>
    </x:row>
    <x:row r="85" ht="22" customHeight="1">
      <x:c r="A85" s="70"/>
      <x:c r="B85" s="70"/>
      <x:c r="C85" s="70"/>
      <x:c r="D85" s="70"/>
      <x:c r="E85" s="71" t="str">
        <x:f>IFERROR(INDEX('学校信息'!$F$4:$F$53,MATCH(B85,'学校信息'!$A$4:$A$53,0)),"")</x:f>
      </x:c>
      <x:c r="F85" s="71" t="str">
        <x:f>IFERROR(INDEX('学校信息'!$G$4:$G$53,MATCH(B85,'学校信息'!$A$4:$A$53,0)),"")</x:f>
      </x:c>
      <x:c r="G85" s="75"/>
      <x:c r="H85" s="70"/>
      <x:c r="I85" s="70"/>
      <x:c r="J85" s="28"/>
      <x:c r="K85" s="70"/>
      <x:c r="L85" s="70"/>
      <x:c r="M85" s="70"/>
      <x:c r="N85" s="70"/>
      <x:c r="O85" s="70"/>
      <x:c r="P85" s="28"/>
      <x:c r="Q85" s="70"/>
      <x:c r="R85" s="28"/>
      <x:c r="S85" s="28"/>
      <x:c r="T85" s="60" t="str">
        <x:f>IF(COUNTA(A85:D85)+COUNTA(G85:S85)=0,"",IF(OR(A85="",B85="",C85="",D85="",G85="",H85="",J85="",R85=""),"缺少必填项",IF(COUNTIF($A$4:$A$203,A85)&gt;1,"全局队伍ID重复",IF(COUNTIF('学校信息'!$A$4:$A$53,B85)=0,"学校ID不存在",IF(COUNTIFS($B$4:$B$203,B85,$G$4:$G$203,G85,$R$4:$R$203,"启用")&gt;1,"同校Hydro UID重复","通过")))))</x:f>
      </x:c>
    </x:row>
    <x:row r="86" ht="22" customHeight="1">
      <x:c r="A86" s="70"/>
      <x:c r="B86" s="70"/>
      <x:c r="C86" s="70"/>
      <x:c r="D86" s="70"/>
      <x:c r="E86" s="71" t="str">
        <x:f>IFERROR(INDEX('学校信息'!$F$4:$F$53,MATCH(B86,'学校信息'!$A$4:$A$53,0)),"")</x:f>
      </x:c>
      <x:c r="F86" s="71" t="str">
        <x:f>IFERROR(INDEX('学校信息'!$G$4:$G$53,MATCH(B86,'学校信息'!$A$4:$A$53,0)),"")</x:f>
      </x:c>
      <x:c r="G86" s="75"/>
      <x:c r="H86" s="70"/>
      <x:c r="I86" s="70"/>
      <x:c r="J86" s="28"/>
      <x:c r="K86" s="70"/>
      <x:c r="L86" s="70"/>
      <x:c r="M86" s="70"/>
      <x:c r="N86" s="70"/>
      <x:c r="O86" s="70"/>
      <x:c r="P86" s="28"/>
      <x:c r="Q86" s="70"/>
      <x:c r="R86" s="28"/>
      <x:c r="S86" s="28"/>
      <x:c r="T86" s="60" t="str">
        <x:f>IF(COUNTA(A86:D86)+COUNTA(G86:S86)=0,"",IF(OR(A86="",B86="",C86="",D86="",G86="",H86="",J86="",R86=""),"缺少必填项",IF(COUNTIF($A$4:$A$203,A86)&gt;1,"全局队伍ID重复",IF(COUNTIF('学校信息'!$A$4:$A$53,B86)=0,"学校ID不存在",IF(COUNTIFS($B$4:$B$203,B86,$G$4:$G$203,G86,$R$4:$R$203,"启用")&gt;1,"同校Hydro UID重复","通过")))))</x:f>
      </x:c>
    </x:row>
    <x:row r="87" ht="22" customHeight="1">
      <x:c r="A87" s="70"/>
      <x:c r="B87" s="70"/>
      <x:c r="C87" s="70"/>
      <x:c r="D87" s="70"/>
      <x:c r="E87" s="71" t="str">
        <x:f>IFERROR(INDEX('学校信息'!$F$4:$F$53,MATCH(B87,'学校信息'!$A$4:$A$53,0)),"")</x:f>
      </x:c>
      <x:c r="F87" s="71" t="str">
        <x:f>IFERROR(INDEX('学校信息'!$G$4:$G$53,MATCH(B87,'学校信息'!$A$4:$A$53,0)),"")</x:f>
      </x:c>
      <x:c r="G87" s="75"/>
      <x:c r="H87" s="70"/>
      <x:c r="I87" s="70"/>
      <x:c r="J87" s="28"/>
      <x:c r="K87" s="70"/>
      <x:c r="L87" s="70"/>
      <x:c r="M87" s="70"/>
      <x:c r="N87" s="70"/>
      <x:c r="O87" s="70"/>
      <x:c r="P87" s="28"/>
      <x:c r="Q87" s="70"/>
      <x:c r="R87" s="28"/>
      <x:c r="S87" s="28"/>
      <x:c r="T87" s="60" t="str">
        <x:f>IF(COUNTA(A87:D87)+COUNTA(G87:S87)=0,"",IF(OR(A87="",B87="",C87="",D87="",G87="",H87="",J87="",R87=""),"缺少必填项",IF(COUNTIF($A$4:$A$203,A87)&gt;1,"全局队伍ID重复",IF(COUNTIF('学校信息'!$A$4:$A$53,B87)=0,"学校ID不存在",IF(COUNTIFS($B$4:$B$203,B87,$G$4:$G$203,G87,$R$4:$R$203,"启用")&gt;1,"同校Hydro UID重复","通过")))))</x:f>
      </x:c>
    </x:row>
    <x:row r="88" ht="22" customHeight="1">
      <x:c r="A88" s="70"/>
      <x:c r="B88" s="70"/>
      <x:c r="C88" s="70"/>
      <x:c r="D88" s="70"/>
      <x:c r="E88" s="71" t="str">
        <x:f>IFERROR(INDEX('学校信息'!$F$4:$F$53,MATCH(B88,'学校信息'!$A$4:$A$53,0)),"")</x:f>
      </x:c>
      <x:c r="F88" s="71" t="str">
        <x:f>IFERROR(INDEX('学校信息'!$G$4:$G$53,MATCH(B88,'学校信息'!$A$4:$A$53,0)),"")</x:f>
      </x:c>
      <x:c r="G88" s="75"/>
      <x:c r="H88" s="70"/>
      <x:c r="I88" s="70"/>
      <x:c r="J88" s="28"/>
      <x:c r="K88" s="70"/>
      <x:c r="L88" s="70"/>
      <x:c r="M88" s="70"/>
      <x:c r="N88" s="70"/>
      <x:c r="O88" s="70"/>
      <x:c r="P88" s="28"/>
      <x:c r="Q88" s="70"/>
      <x:c r="R88" s="28"/>
      <x:c r="S88" s="28"/>
      <x:c r="T88" s="60" t="str">
        <x:f>IF(COUNTA(A88:D88)+COUNTA(G88:S88)=0,"",IF(OR(A88="",B88="",C88="",D88="",G88="",H88="",J88="",R88=""),"缺少必填项",IF(COUNTIF($A$4:$A$203,A88)&gt;1,"全局队伍ID重复",IF(COUNTIF('学校信息'!$A$4:$A$53,B88)=0,"学校ID不存在",IF(COUNTIFS($B$4:$B$203,B88,$G$4:$G$203,G88,$R$4:$R$203,"启用")&gt;1,"同校Hydro UID重复","通过")))))</x:f>
      </x:c>
    </x:row>
    <x:row r="89" ht="22" customHeight="1">
      <x:c r="A89" s="70"/>
      <x:c r="B89" s="70"/>
      <x:c r="C89" s="70"/>
      <x:c r="D89" s="70"/>
      <x:c r="E89" s="71" t="str">
        <x:f>IFERROR(INDEX('学校信息'!$F$4:$F$53,MATCH(B89,'学校信息'!$A$4:$A$53,0)),"")</x:f>
      </x:c>
      <x:c r="F89" s="71" t="str">
        <x:f>IFERROR(INDEX('学校信息'!$G$4:$G$53,MATCH(B89,'学校信息'!$A$4:$A$53,0)),"")</x:f>
      </x:c>
      <x:c r="G89" s="75"/>
      <x:c r="H89" s="70"/>
      <x:c r="I89" s="70"/>
      <x:c r="J89" s="28"/>
      <x:c r="K89" s="70"/>
      <x:c r="L89" s="70"/>
      <x:c r="M89" s="70"/>
      <x:c r="N89" s="70"/>
      <x:c r="O89" s="70"/>
      <x:c r="P89" s="28"/>
      <x:c r="Q89" s="70"/>
      <x:c r="R89" s="28"/>
      <x:c r="S89" s="28"/>
      <x:c r="T89" s="60" t="str">
        <x:f>IF(COUNTA(A89:D89)+COUNTA(G89:S89)=0,"",IF(OR(A89="",B89="",C89="",D89="",G89="",H89="",J89="",R89=""),"缺少必填项",IF(COUNTIF($A$4:$A$203,A89)&gt;1,"全局队伍ID重复",IF(COUNTIF('学校信息'!$A$4:$A$53,B89)=0,"学校ID不存在",IF(COUNTIFS($B$4:$B$203,B89,$G$4:$G$203,G89,$R$4:$R$203,"启用")&gt;1,"同校Hydro UID重复","通过")))))</x:f>
      </x:c>
    </x:row>
    <x:row r="90" ht="22" customHeight="1">
      <x:c r="A90" s="70"/>
      <x:c r="B90" s="70"/>
      <x:c r="C90" s="70"/>
      <x:c r="D90" s="70"/>
      <x:c r="E90" s="71" t="str">
        <x:f>IFERROR(INDEX('学校信息'!$F$4:$F$53,MATCH(B90,'学校信息'!$A$4:$A$53,0)),"")</x:f>
      </x:c>
      <x:c r="F90" s="71" t="str">
        <x:f>IFERROR(INDEX('学校信息'!$G$4:$G$53,MATCH(B90,'学校信息'!$A$4:$A$53,0)),"")</x:f>
      </x:c>
      <x:c r="G90" s="75"/>
      <x:c r="H90" s="70"/>
      <x:c r="I90" s="70"/>
      <x:c r="J90" s="28"/>
      <x:c r="K90" s="70"/>
      <x:c r="L90" s="70"/>
      <x:c r="M90" s="70"/>
      <x:c r="N90" s="70"/>
      <x:c r="O90" s="70"/>
      <x:c r="P90" s="28"/>
      <x:c r="Q90" s="70"/>
      <x:c r="R90" s="28"/>
      <x:c r="S90" s="28"/>
      <x:c r="T90" s="60" t="str">
        <x:f>IF(COUNTA(A90:D90)+COUNTA(G90:S90)=0,"",IF(OR(A90="",B90="",C90="",D90="",G90="",H90="",J90="",R90=""),"缺少必填项",IF(COUNTIF($A$4:$A$203,A90)&gt;1,"全局队伍ID重复",IF(COUNTIF('学校信息'!$A$4:$A$53,B90)=0,"学校ID不存在",IF(COUNTIFS($B$4:$B$203,B90,$G$4:$G$203,G90,$R$4:$R$203,"启用")&gt;1,"同校Hydro UID重复","通过")))))</x:f>
      </x:c>
    </x:row>
    <x:row r="91" ht="22" customHeight="1">
      <x:c r="A91" s="70"/>
      <x:c r="B91" s="70"/>
      <x:c r="C91" s="70"/>
      <x:c r="D91" s="70"/>
      <x:c r="E91" s="71" t="str">
        <x:f>IFERROR(INDEX('学校信息'!$F$4:$F$53,MATCH(B91,'学校信息'!$A$4:$A$53,0)),"")</x:f>
      </x:c>
      <x:c r="F91" s="71" t="str">
        <x:f>IFERROR(INDEX('学校信息'!$G$4:$G$53,MATCH(B91,'学校信息'!$A$4:$A$53,0)),"")</x:f>
      </x:c>
      <x:c r="G91" s="75"/>
      <x:c r="H91" s="70"/>
      <x:c r="I91" s="70"/>
      <x:c r="J91" s="28"/>
      <x:c r="K91" s="70"/>
      <x:c r="L91" s="70"/>
      <x:c r="M91" s="70"/>
      <x:c r="N91" s="70"/>
      <x:c r="O91" s="70"/>
      <x:c r="P91" s="28"/>
      <x:c r="Q91" s="70"/>
      <x:c r="R91" s="28"/>
      <x:c r="S91" s="28"/>
      <x:c r="T91" s="60" t="str">
        <x:f>IF(COUNTA(A91:D91)+COUNTA(G91:S91)=0,"",IF(OR(A91="",B91="",C91="",D91="",G91="",H91="",J91="",R91=""),"缺少必填项",IF(COUNTIF($A$4:$A$203,A91)&gt;1,"全局队伍ID重复",IF(COUNTIF('学校信息'!$A$4:$A$53,B91)=0,"学校ID不存在",IF(COUNTIFS($B$4:$B$203,B91,$G$4:$G$203,G91,$R$4:$R$203,"启用")&gt;1,"同校Hydro UID重复","通过")))))</x:f>
      </x:c>
    </x:row>
    <x:row r="92" ht="22" customHeight="1">
      <x:c r="A92" s="70"/>
      <x:c r="B92" s="70"/>
      <x:c r="C92" s="70"/>
      <x:c r="D92" s="70"/>
      <x:c r="E92" s="71" t="str">
        <x:f>IFERROR(INDEX('学校信息'!$F$4:$F$53,MATCH(B92,'学校信息'!$A$4:$A$53,0)),"")</x:f>
      </x:c>
      <x:c r="F92" s="71" t="str">
        <x:f>IFERROR(INDEX('学校信息'!$G$4:$G$53,MATCH(B92,'学校信息'!$A$4:$A$53,0)),"")</x:f>
      </x:c>
      <x:c r="G92" s="75"/>
      <x:c r="H92" s="70"/>
      <x:c r="I92" s="70"/>
      <x:c r="J92" s="28"/>
      <x:c r="K92" s="70"/>
      <x:c r="L92" s="70"/>
      <x:c r="M92" s="70"/>
      <x:c r="N92" s="70"/>
      <x:c r="O92" s="70"/>
      <x:c r="P92" s="28"/>
      <x:c r="Q92" s="70"/>
      <x:c r="R92" s="28"/>
      <x:c r="S92" s="28"/>
      <x:c r="T92" s="60" t="str">
        <x:f>IF(COUNTA(A92:D92)+COUNTA(G92:S92)=0,"",IF(OR(A92="",B92="",C92="",D92="",G92="",H92="",J92="",R92=""),"缺少必填项",IF(COUNTIF($A$4:$A$203,A92)&gt;1,"全局队伍ID重复",IF(COUNTIF('学校信息'!$A$4:$A$53,B92)=0,"学校ID不存在",IF(COUNTIFS($B$4:$B$203,B92,$G$4:$G$203,G92,$R$4:$R$203,"启用")&gt;1,"同校Hydro UID重复","通过")))))</x:f>
      </x:c>
    </x:row>
    <x:row r="93" ht="22" customHeight="1">
      <x:c r="A93" s="70"/>
      <x:c r="B93" s="70"/>
      <x:c r="C93" s="70"/>
      <x:c r="D93" s="70"/>
      <x:c r="E93" s="71" t="str">
        <x:f>IFERROR(INDEX('学校信息'!$F$4:$F$53,MATCH(B93,'学校信息'!$A$4:$A$53,0)),"")</x:f>
      </x:c>
      <x:c r="F93" s="71" t="str">
        <x:f>IFERROR(INDEX('学校信息'!$G$4:$G$53,MATCH(B93,'学校信息'!$A$4:$A$53,0)),"")</x:f>
      </x:c>
      <x:c r="G93" s="75"/>
      <x:c r="H93" s="70"/>
      <x:c r="I93" s="70"/>
      <x:c r="J93" s="28"/>
      <x:c r="K93" s="70"/>
      <x:c r="L93" s="70"/>
      <x:c r="M93" s="70"/>
      <x:c r="N93" s="70"/>
      <x:c r="O93" s="70"/>
      <x:c r="P93" s="28"/>
      <x:c r="Q93" s="70"/>
      <x:c r="R93" s="28"/>
      <x:c r="S93" s="28"/>
      <x:c r="T93" s="60" t="str">
        <x:f>IF(COUNTA(A93:D93)+COUNTA(G93:S93)=0,"",IF(OR(A93="",B93="",C93="",D93="",G93="",H93="",J93="",R93=""),"缺少必填项",IF(COUNTIF($A$4:$A$203,A93)&gt;1,"全局队伍ID重复",IF(COUNTIF('学校信息'!$A$4:$A$53,B93)=0,"学校ID不存在",IF(COUNTIFS($B$4:$B$203,B93,$G$4:$G$203,G93,$R$4:$R$203,"启用")&gt;1,"同校Hydro UID重复","通过")))))</x:f>
      </x:c>
    </x:row>
    <x:row r="94" ht="22" customHeight="1">
      <x:c r="A94" s="70"/>
      <x:c r="B94" s="70"/>
      <x:c r="C94" s="70"/>
      <x:c r="D94" s="70"/>
      <x:c r="E94" s="71" t="str">
        <x:f>IFERROR(INDEX('学校信息'!$F$4:$F$53,MATCH(B94,'学校信息'!$A$4:$A$53,0)),"")</x:f>
      </x:c>
      <x:c r="F94" s="71" t="str">
        <x:f>IFERROR(INDEX('学校信息'!$G$4:$G$53,MATCH(B94,'学校信息'!$A$4:$A$53,0)),"")</x:f>
      </x:c>
      <x:c r="G94" s="75"/>
      <x:c r="H94" s="70"/>
      <x:c r="I94" s="70"/>
      <x:c r="J94" s="28"/>
      <x:c r="K94" s="70"/>
      <x:c r="L94" s="70"/>
      <x:c r="M94" s="70"/>
      <x:c r="N94" s="70"/>
      <x:c r="O94" s="70"/>
      <x:c r="P94" s="28"/>
      <x:c r="Q94" s="70"/>
      <x:c r="R94" s="28"/>
      <x:c r="S94" s="28"/>
      <x:c r="T94" s="60" t="str">
        <x:f>IF(COUNTA(A94:D94)+COUNTA(G94:S94)=0,"",IF(OR(A94="",B94="",C94="",D94="",G94="",H94="",J94="",R94=""),"缺少必填项",IF(COUNTIF($A$4:$A$203,A94)&gt;1,"全局队伍ID重复",IF(COUNTIF('学校信息'!$A$4:$A$53,B94)=0,"学校ID不存在",IF(COUNTIFS($B$4:$B$203,B94,$G$4:$G$203,G94,$R$4:$R$203,"启用")&gt;1,"同校Hydro UID重复","通过")))))</x:f>
      </x:c>
    </x:row>
    <x:row r="95" ht="22" customHeight="1">
      <x:c r="A95" s="70"/>
      <x:c r="B95" s="70"/>
      <x:c r="C95" s="70"/>
      <x:c r="D95" s="70"/>
      <x:c r="E95" s="71" t="str">
        <x:f>IFERROR(INDEX('学校信息'!$F$4:$F$53,MATCH(B95,'学校信息'!$A$4:$A$53,0)),"")</x:f>
      </x:c>
      <x:c r="F95" s="71" t="str">
        <x:f>IFERROR(INDEX('学校信息'!$G$4:$G$53,MATCH(B95,'学校信息'!$A$4:$A$53,0)),"")</x:f>
      </x:c>
      <x:c r="G95" s="75"/>
      <x:c r="H95" s="70"/>
      <x:c r="I95" s="70"/>
      <x:c r="J95" s="28"/>
      <x:c r="K95" s="70"/>
      <x:c r="L95" s="70"/>
      <x:c r="M95" s="70"/>
      <x:c r="N95" s="70"/>
      <x:c r="O95" s="70"/>
      <x:c r="P95" s="28"/>
      <x:c r="Q95" s="70"/>
      <x:c r="R95" s="28"/>
      <x:c r="S95" s="28"/>
      <x:c r="T95" s="60" t="str">
        <x:f>IF(COUNTA(A95:D95)+COUNTA(G95:S95)=0,"",IF(OR(A95="",B95="",C95="",D95="",G95="",H95="",J95="",R95=""),"缺少必填项",IF(COUNTIF($A$4:$A$203,A95)&gt;1,"全局队伍ID重复",IF(COUNTIF('学校信息'!$A$4:$A$53,B95)=0,"学校ID不存在",IF(COUNTIFS($B$4:$B$203,B95,$G$4:$G$203,G95,$R$4:$R$203,"启用")&gt;1,"同校Hydro UID重复","通过")))))</x:f>
      </x:c>
    </x:row>
    <x:row r="96" ht="22" customHeight="1">
      <x:c r="A96" s="70"/>
      <x:c r="B96" s="70"/>
      <x:c r="C96" s="70"/>
      <x:c r="D96" s="70"/>
      <x:c r="E96" s="71" t="str">
        <x:f>IFERROR(INDEX('学校信息'!$F$4:$F$53,MATCH(B96,'学校信息'!$A$4:$A$53,0)),"")</x:f>
      </x:c>
      <x:c r="F96" s="71" t="str">
        <x:f>IFERROR(INDEX('学校信息'!$G$4:$G$53,MATCH(B96,'学校信息'!$A$4:$A$53,0)),"")</x:f>
      </x:c>
      <x:c r="G96" s="75"/>
      <x:c r="H96" s="70"/>
      <x:c r="I96" s="70"/>
      <x:c r="J96" s="28"/>
      <x:c r="K96" s="70"/>
      <x:c r="L96" s="70"/>
      <x:c r="M96" s="70"/>
      <x:c r="N96" s="70"/>
      <x:c r="O96" s="70"/>
      <x:c r="P96" s="28"/>
      <x:c r="Q96" s="70"/>
      <x:c r="R96" s="28"/>
      <x:c r="S96" s="28"/>
      <x:c r="T96" s="60" t="str">
        <x:f>IF(COUNTA(A96:D96)+COUNTA(G96:S96)=0,"",IF(OR(A96="",B96="",C96="",D96="",G96="",H96="",J96="",R96=""),"缺少必填项",IF(COUNTIF($A$4:$A$203,A96)&gt;1,"全局队伍ID重复",IF(COUNTIF('学校信息'!$A$4:$A$53,B96)=0,"学校ID不存在",IF(COUNTIFS($B$4:$B$203,B96,$G$4:$G$203,G96,$R$4:$R$203,"启用")&gt;1,"同校Hydro UID重复","通过")))))</x:f>
      </x:c>
    </x:row>
    <x:row r="97" ht="22" customHeight="1">
      <x:c r="A97" s="70"/>
      <x:c r="B97" s="70"/>
      <x:c r="C97" s="70"/>
      <x:c r="D97" s="70"/>
      <x:c r="E97" s="71" t="str">
        <x:f>IFERROR(INDEX('学校信息'!$F$4:$F$53,MATCH(B97,'学校信息'!$A$4:$A$53,0)),"")</x:f>
      </x:c>
      <x:c r="F97" s="71" t="str">
        <x:f>IFERROR(INDEX('学校信息'!$G$4:$G$53,MATCH(B97,'学校信息'!$A$4:$A$53,0)),"")</x:f>
      </x:c>
      <x:c r="G97" s="75"/>
      <x:c r="H97" s="70"/>
      <x:c r="I97" s="70"/>
      <x:c r="J97" s="28"/>
      <x:c r="K97" s="70"/>
      <x:c r="L97" s="70"/>
      <x:c r="M97" s="70"/>
      <x:c r="N97" s="70"/>
      <x:c r="O97" s="70"/>
      <x:c r="P97" s="28"/>
      <x:c r="Q97" s="70"/>
      <x:c r="R97" s="28"/>
      <x:c r="S97" s="28"/>
      <x:c r="T97" s="60" t="str">
        <x:f>IF(COUNTA(A97:D97)+COUNTA(G97:S97)=0,"",IF(OR(A97="",B97="",C97="",D97="",G97="",H97="",J97="",R97=""),"缺少必填项",IF(COUNTIF($A$4:$A$203,A97)&gt;1,"全局队伍ID重复",IF(COUNTIF('学校信息'!$A$4:$A$53,B97)=0,"学校ID不存在",IF(COUNTIFS($B$4:$B$203,B97,$G$4:$G$203,G97,$R$4:$R$203,"启用")&gt;1,"同校Hydro UID重复","通过")))))</x:f>
      </x:c>
    </x:row>
    <x:row r="98" ht="22" customHeight="1">
      <x:c r="A98" s="70"/>
      <x:c r="B98" s="70"/>
      <x:c r="C98" s="70"/>
      <x:c r="D98" s="70"/>
      <x:c r="E98" s="71" t="str">
        <x:f>IFERROR(INDEX('学校信息'!$F$4:$F$53,MATCH(B98,'学校信息'!$A$4:$A$53,0)),"")</x:f>
      </x:c>
      <x:c r="F98" s="71" t="str">
        <x:f>IFERROR(INDEX('学校信息'!$G$4:$G$53,MATCH(B98,'学校信息'!$A$4:$A$53,0)),"")</x:f>
      </x:c>
      <x:c r="G98" s="75"/>
      <x:c r="H98" s="70"/>
      <x:c r="I98" s="70"/>
      <x:c r="J98" s="28"/>
      <x:c r="K98" s="70"/>
      <x:c r="L98" s="70"/>
      <x:c r="M98" s="70"/>
      <x:c r="N98" s="70"/>
      <x:c r="O98" s="70"/>
      <x:c r="P98" s="28"/>
      <x:c r="Q98" s="70"/>
      <x:c r="R98" s="28"/>
      <x:c r="S98" s="28"/>
      <x:c r="T98" s="60" t="str">
        <x:f>IF(COUNTA(A98:D98)+COUNTA(G98:S98)=0,"",IF(OR(A98="",B98="",C98="",D98="",G98="",H98="",J98="",R98=""),"缺少必填项",IF(COUNTIF($A$4:$A$203,A98)&gt;1,"全局队伍ID重复",IF(COUNTIF('学校信息'!$A$4:$A$53,B98)=0,"学校ID不存在",IF(COUNTIFS($B$4:$B$203,B98,$G$4:$G$203,G98,$R$4:$R$203,"启用")&gt;1,"同校Hydro UID重复","通过")))))</x:f>
      </x:c>
    </x:row>
    <x:row r="99" ht="22" customHeight="1">
      <x:c r="A99" s="70"/>
      <x:c r="B99" s="70"/>
      <x:c r="C99" s="70"/>
      <x:c r="D99" s="70"/>
      <x:c r="E99" s="71" t="str">
        <x:f>IFERROR(INDEX('学校信息'!$F$4:$F$53,MATCH(B99,'学校信息'!$A$4:$A$53,0)),"")</x:f>
      </x:c>
      <x:c r="F99" s="71" t="str">
        <x:f>IFERROR(INDEX('学校信息'!$G$4:$G$53,MATCH(B99,'学校信息'!$A$4:$A$53,0)),"")</x:f>
      </x:c>
      <x:c r="G99" s="75"/>
      <x:c r="H99" s="70"/>
      <x:c r="I99" s="70"/>
      <x:c r="J99" s="28"/>
      <x:c r="K99" s="70"/>
      <x:c r="L99" s="70"/>
      <x:c r="M99" s="70"/>
      <x:c r="N99" s="70"/>
      <x:c r="O99" s="70"/>
      <x:c r="P99" s="28"/>
      <x:c r="Q99" s="70"/>
      <x:c r="R99" s="28"/>
      <x:c r="S99" s="28"/>
      <x:c r="T99" s="60" t="str">
        <x:f>IF(COUNTA(A99:D99)+COUNTA(G99:S99)=0,"",IF(OR(A99="",B99="",C99="",D99="",G99="",H99="",J99="",R99=""),"缺少必填项",IF(COUNTIF($A$4:$A$203,A99)&gt;1,"全局队伍ID重复",IF(COUNTIF('学校信息'!$A$4:$A$53,B99)=0,"学校ID不存在",IF(COUNTIFS($B$4:$B$203,B99,$G$4:$G$203,G99,$R$4:$R$203,"启用")&gt;1,"同校Hydro UID重复","通过")))))</x:f>
      </x:c>
    </x:row>
    <x:row r="100" ht="22" customHeight="1">
      <x:c r="A100" s="70"/>
      <x:c r="B100" s="70"/>
      <x:c r="C100" s="70"/>
      <x:c r="D100" s="70"/>
      <x:c r="E100" s="71" t="str">
        <x:f>IFERROR(INDEX('学校信息'!$F$4:$F$53,MATCH(B100,'学校信息'!$A$4:$A$53,0)),"")</x:f>
      </x:c>
      <x:c r="F100" s="71" t="str">
        <x:f>IFERROR(INDEX('学校信息'!$G$4:$G$53,MATCH(B100,'学校信息'!$A$4:$A$53,0)),"")</x:f>
      </x:c>
      <x:c r="G100" s="75"/>
      <x:c r="H100" s="70"/>
      <x:c r="I100" s="70"/>
      <x:c r="J100" s="28"/>
      <x:c r="K100" s="70"/>
      <x:c r="L100" s="70"/>
      <x:c r="M100" s="70"/>
      <x:c r="N100" s="70"/>
      <x:c r="O100" s="70"/>
      <x:c r="P100" s="28"/>
      <x:c r="Q100" s="70"/>
      <x:c r="R100" s="28"/>
      <x:c r="S100" s="28"/>
      <x:c r="T100" s="60" t="str">
        <x:f>IF(COUNTA(A100:D100)+COUNTA(G100:S100)=0,"",IF(OR(A100="",B100="",C100="",D100="",G100="",H100="",J100="",R100=""),"缺少必填项",IF(COUNTIF($A$4:$A$203,A100)&gt;1,"全局队伍ID重复",IF(COUNTIF('学校信息'!$A$4:$A$53,B100)=0,"学校ID不存在",IF(COUNTIFS($B$4:$B$203,B100,$G$4:$G$203,G100,$R$4:$R$203,"启用")&gt;1,"同校Hydro UID重复","通过")))))</x:f>
      </x:c>
    </x:row>
    <x:row r="101" ht="22" customHeight="1">
      <x:c r="A101" s="70"/>
      <x:c r="B101" s="70"/>
      <x:c r="C101" s="70"/>
      <x:c r="D101" s="70"/>
      <x:c r="E101" s="71" t="str">
        <x:f>IFERROR(INDEX('学校信息'!$F$4:$F$53,MATCH(B101,'学校信息'!$A$4:$A$53,0)),"")</x:f>
      </x:c>
      <x:c r="F101" s="71" t="str">
        <x:f>IFERROR(INDEX('学校信息'!$G$4:$G$53,MATCH(B101,'学校信息'!$A$4:$A$53,0)),"")</x:f>
      </x:c>
      <x:c r="G101" s="75"/>
      <x:c r="H101" s="70"/>
      <x:c r="I101" s="70"/>
      <x:c r="J101" s="28"/>
      <x:c r="K101" s="70"/>
      <x:c r="L101" s="70"/>
      <x:c r="M101" s="70"/>
      <x:c r="N101" s="70"/>
      <x:c r="O101" s="70"/>
      <x:c r="P101" s="28"/>
      <x:c r="Q101" s="70"/>
      <x:c r="R101" s="28"/>
      <x:c r="S101" s="28"/>
      <x:c r="T101" s="60" t="str">
        <x:f>IF(COUNTA(A101:D101)+COUNTA(G101:S101)=0,"",IF(OR(A101="",B101="",C101="",D101="",G101="",H101="",J101="",R101=""),"缺少必填项",IF(COUNTIF($A$4:$A$203,A101)&gt;1,"全局队伍ID重复",IF(COUNTIF('学校信息'!$A$4:$A$53,B101)=0,"学校ID不存在",IF(COUNTIFS($B$4:$B$203,B101,$G$4:$G$203,G101,$R$4:$R$203,"启用")&gt;1,"同校Hydro UID重复","通过")))))</x:f>
      </x:c>
    </x:row>
    <x:row r="102" ht="22" customHeight="1">
      <x:c r="A102" s="70"/>
      <x:c r="B102" s="70"/>
      <x:c r="C102" s="70"/>
      <x:c r="D102" s="70"/>
      <x:c r="E102" s="71" t="str">
        <x:f>IFERROR(INDEX('学校信息'!$F$4:$F$53,MATCH(B102,'学校信息'!$A$4:$A$53,0)),"")</x:f>
      </x:c>
      <x:c r="F102" s="71" t="str">
        <x:f>IFERROR(INDEX('学校信息'!$G$4:$G$53,MATCH(B102,'学校信息'!$A$4:$A$53,0)),"")</x:f>
      </x:c>
      <x:c r="G102" s="75"/>
      <x:c r="H102" s="70"/>
      <x:c r="I102" s="70"/>
      <x:c r="J102" s="28"/>
      <x:c r="K102" s="70"/>
      <x:c r="L102" s="70"/>
      <x:c r="M102" s="70"/>
      <x:c r="N102" s="70"/>
      <x:c r="O102" s="70"/>
      <x:c r="P102" s="28"/>
      <x:c r="Q102" s="70"/>
      <x:c r="R102" s="28"/>
      <x:c r="S102" s="28"/>
      <x:c r="T102" s="60" t="str">
        <x:f>IF(COUNTA(A102:D102)+COUNTA(G102:S102)=0,"",IF(OR(A102="",B102="",C102="",D102="",G102="",H102="",J102="",R102=""),"缺少必填项",IF(COUNTIF($A$4:$A$203,A102)&gt;1,"全局队伍ID重复",IF(COUNTIF('学校信息'!$A$4:$A$53,B102)=0,"学校ID不存在",IF(COUNTIFS($B$4:$B$203,B102,$G$4:$G$203,G102,$R$4:$R$203,"启用")&gt;1,"同校Hydro UID重复","通过")))))</x:f>
      </x:c>
    </x:row>
    <x:row r="103" ht="22" customHeight="1">
      <x:c r="A103" s="70"/>
      <x:c r="B103" s="70"/>
      <x:c r="C103" s="70"/>
      <x:c r="D103" s="70"/>
      <x:c r="E103" s="71" t="str">
        <x:f>IFERROR(INDEX('学校信息'!$F$4:$F$53,MATCH(B103,'学校信息'!$A$4:$A$53,0)),"")</x:f>
      </x:c>
      <x:c r="F103" s="71" t="str">
        <x:f>IFERROR(INDEX('学校信息'!$G$4:$G$53,MATCH(B103,'学校信息'!$A$4:$A$53,0)),"")</x:f>
      </x:c>
      <x:c r="G103" s="75"/>
      <x:c r="H103" s="70"/>
      <x:c r="I103" s="70"/>
      <x:c r="J103" s="28"/>
      <x:c r="K103" s="70"/>
      <x:c r="L103" s="70"/>
      <x:c r="M103" s="70"/>
      <x:c r="N103" s="70"/>
      <x:c r="O103" s="70"/>
      <x:c r="P103" s="28"/>
      <x:c r="Q103" s="70"/>
      <x:c r="R103" s="28"/>
      <x:c r="S103" s="28"/>
      <x:c r="T103" s="60" t="str">
        <x:f>IF(COUNTA(A103:D103)+COUNTA(G103:S103)=0,"",IF(OR(A103="",B103="",C103="",D103="",G103="",H103="",J103="",R103=""),"缺少必填项",IF(COUNTIF($A$4:$A$203,A103)&gt;1,"全局队伍ID重复",IF(COUNTIF('学校信息'!$A$4:$A$53,B103)=0,"学校ID不存在",IF(COUNTIFS($B$4:$B$203,B103,$G$4:$G$203,G103,$R$4:$R$203,"启用")&gt;1,"同校Hydro UID重复","通过")))))</x:f>
      </x:c>
    </x:row>
    <x:row r="104" ht="22" customHeight="1">
      <x:c r="A104" s="70"/>
      <x:c r="B104" s="70"/>
      <x:c r="C104" s="70"/>
      <x:c r="D104" s="70"/>
      <x:c r="E104" s="71" t="str">
        <x:f>IFERROR(INDEX('学校信息'!$F$4:$F$53,MATCH(B104,'学校信息'!$A$4:$A$53,0)),"")</x:f>
      </x:c>
      <x:c r="F104" s="71" t="str">
        <x:f>IFERROR(INDEX('学校信息'!$G$4:$G$53,MATCH(B104,'学校信息'!$A$4:$A$53,0)),"")</x:f>
      </x:c>
      <x:c r="G104" s="75"/>
      <x:c r="H104" s="70"/>
      <x:c r="I104" s="70"/>
      <x:c r="J104" s="28"/>
      <x:c r="K104" s="70"/>
      <x:c r="L104" s="70"/>
      <x:c r="M104" s="70"/>
      <x:c r="N104" s="70"/>
      <x:c r="O104" s="70"/>
      <x:c r="P104" s="28"/>
      <x:c r="Q104" s="70"/>
      <x:c r="R104" s="28"/>
      <x:c r="S104" s="28"/>
      <x:c r="T104" s="60" t="str">
        <x:f>IF(COUNTA(A104:D104)+COUNTA(G104:S104)=0,"",IF(OR(A104="",B104="",C104="",D104="",G104="",H104="",J104="",R104=""),"缺少必填项",IF(COUNTIF($A$4:$A$203,A104)&gt;1,"全局队伍ID重复",IF(COUNTIF('学校信息'!$A$4:$A$53,B104)=0,"学校ID不存在",IF(COUNTIFS($B$4:$B$203,B104,$G$4:$G$203,G104,$R$4:$R$203,"启用")&gt;1,"同校Hydro UID重复","通过")))))</x:f>
      </x:c>
    </x:row>
    <x:row r="105" ht="22" customHeight="1">
      <x:c r="A105" s="70"/>
      <x:c r="B105" s="70"/>
      <x:c r="C105" s="70"/>
      <x:c r="D105" s="70"/>
      <x:c r="E105" s="71" t="str">
        <x:f>IFERROR(INDEX('学校信息'!$F$4:$F$53,MATCH(B105,'学校信息'!$A$4:$A$53,0)),"")</x:f>
      </x:c>
      <x:c r="F105" s="71" t="str">
        <x:f>IFERROR(INDEX('学校信息'!$G$4:$G$53,MATCH(B105,'学校信息'!$A$4:$A$53,0)),"")</x:f>
      </x:c>
      <x:c r="G105" s="75"/>
      <x:c r="H105" s="70"/>
      <x:c r="I105" s="70"/>
      <x:c r="J105" s="28"/>
      <x:c r="K105" s="70"/>
      <x:c r="L105" s="70"/>
      <x:c r="M105" s="70"/>
      <x:c r="N105" s="70"/>
      <x:c r="O105" s="70"/>
      <x:c r="P105" s="28"/>
      <x:c r="Q105" s="70"/>
      <x:c r="R105" s="28"/>
      <x:c r="S105" s="28"/>
      <x:c r="T105" s="60" t="str">
        <x:f>IF(COUNTA(A105:D105)+COUNTA(G105:S105)=0,"",IF(OR(A105="",B105="",C105="",D105="",G105="",H105="",J105="",R105=""),"缺少必填项",IF(COUNTIF($A$4:$A$203,A105)&gt;1,"全局队伍ID重复",IF(COUNTIF('学校信息'!$A$4:$A$53,B105)=0,"学校ID不存在",IF(COUNTIFS($B$4:$B$203,B105,$G$4:$G$203,G105,$R$4:$R$203,"启用")&gt;1,"同校Hydro UID重复","通过")))))</x:f>
      </x:c>
    </x:row>
    <x:row r="106" ht="22" customHeight="1">
      <x:c r="A106" s="70"/>
      <x:c r="B106" s="70"/>
      <x:c r="C106" s="70"/>
      <x:c r="D106" s="70"/>
      <x:c r="E106" s="71" t="str">
        <x:f>IFERROR(INDEX('学校信息'!$F$4:$F$53,MATCH(B106,'学校信息'!$A$4:$A$53,0)),"")</x:f>
      </x:c>
      <x:c r="F106" s="71" t="str">
        <x:f>IFERROR(INDEX('学校信息'!$G$4:$G$53,MATCH(B106,'学校信息'!$A$4:$A$53,0)),"")</x:f>
      </x:c>
      <x:c r="G106" s="75"/>
      <x:c r="H106" s="70"/>
      <x:c r="I106" s="70"/>
      <x:c r="J106" s="28"/>
      <x:c r="K106" s="70"/>
      <x:c r="L106" s="70"/>
      <x:c r="M106" s="70"/>
      <x:c r="N106" s="70"/>
      <x:c r="O106" s="70"/>
      <x:c r="P106" s="28"/>
      <x:c r="Q106" s="70"/>
      <x:c r="R106" s="28"/>
      <x:c r="S106" s="28"/>
      <x:c r="T106" s="60" t="str">
        <x:f>IF(COUNTA(A106:D106)+COUNTA(G106:S106)=0,"",IF(OR(A106="",B106="",C106="",D106="",G106="",H106="",J106="",R106=""),"缺少必填项",IF(COUNTIF($A$4:$A$203,A106)&gt;1,"全局队伍ID重复",IF(COUNTIF('学校信息'!$A$4:$A$53,B106)=0,"学校ID不存在",IF(COUNTIFS($B$4:$B$203,B106,$G$4:$G$203,G106,$R$4:$R$203,"启用")&gt;1,"同校Hydro UID重复","通过")))))</x:f>
      </x:c>
    </x:row>
    <x:row r="107" ht="22" customHeight="1">
      <x:c r="A107" s="70"/>
      <x:c r="B107" s="70"/>
      <x:c r="C107" s="70"/>
      <x:c r="D107" s="70"/>
      <x:c r="E107" s="71" t="str">
        <x:f>IFERROR(INDEX('学校信息'!$F$4:$F$53,MATCH(B107,'学校信息'!$A$4:$A$53,0)),"")</x:f>
      </x:c>
      <x:c r="F107" s="71" t="str">
        <x:f>IFERROR(INDEX('学校信息'!$G$4:$G$53,MATCH(B107,'学校信息'!$A$4:$A$53,0)),"")</x:f>
      </x:c>
      <x:c r="G107" s="75"/>
      <x:c r="H107" s="70"/>
      <x:c r="I107" s="70"/>
      <x:c r="J107" s="28"/>
      <x:c r="K107" s="70"/>
      <x:c r="L107" s="70"/>
      <x:c r="M107" s="70"/>
      <x:c r="N107" s="70"/>
      <x:c r="O107" s="70"/>
      <x:c r="P107" s="28"/>
      <x:c r="Q107" s="70"/>
      <x:c r="R107" s="28"/>
      <x:c r="S107" s="28"/>
      <x:c r="T107" s="60" t="str">
        <x:f>IF(COUNTA(A107:D107)+COUNTA(G107:S107)=0,"",IF(OR(A107="",B107="",C107="",D107="",G107="",H107="",J107="",R107=""),"缺少必填项",IF(COUNTIF($A$4:$A$203,A107)&gt;1,"全局队伍ID重复",IF(COUNTIF('学校信息'!$A$4:$A$53,B107)=0,"学校ID不存在",IF(COUNTIFS($B$4:$B$203,B107,$G$4:$G$203,G107,$R$4:$R$203,"启用")&gt;1,"同校Hydro UID重复","通过")))))</x:f>
      </x:c>
    </x:row>
    <x:row r="108" ht="22" customHeight="1">
      <x:c r="A108" s="70"/>
      <x:c r="B108" s="70"/>
      <x:c r="C108" s="70"/>
      <x:c r="D108" s="70"/>
      <x:c r="E108" s="71" t="str">
        <x:f>IFERROR(INDEX('学校信息'!$F$4:$F$53,MATCH(B108,'学校信息'!$A$4:$A$53,0)),"")</x:f>
      </x:c>
      <x:c r="F108" s="71" t="str">
        <x:f>IFERROR(INDEX('学校信息'!$G$4:$G$53,MATCH(B108,'学校信息'!$A$4:$A$53,0)),"")</x:f>
      </x:c>
      <x:c r="G108" s="75"/>
      <x:c r="H108" s="70"/>
      <x:c r="I108" s="70"/>
      <x:c r="J108" s="28"/>
      <x:c r="K108" s="70"/>
      <x:c r="L108" s="70"/>
      <x:c r="M108" s="70"/>
      <x:c r="N108" s="70"/>
      <x:c r="O108" s="70"/>
      <x:c r="P108" s="28"/>
      <x:c r="Q108" s="70"/>
      <x:c r="R108" s="28"/>
      <x:c r="S108" s="28"/>
      <x:c r="T108" s="60" t="str">
        <x:f>IF(COUNTA(A108:D108)+COUNTA(G108:S108)=0,"",IF(OR(A108="",B108="",C108="",D108="",G108="",H108="",J108="",R108=""),"缺少必填项",IF(COUNTIF($A$4:$A$203,A108)&gt;1,"全局队伍ID重复",IF(COUNTIF('学校信息'!$A$4:$A$53,B108)=0,"学校ID不存在",IF(COUNTIFS($B$4:$B$203,B108,$G$4:$G$203,G108,$R$4:$R$203,"启用")&gt;1,"同校Hydro UID重复","通过")))))</x:f>
      </x:c>
    </x:row>
    <x:row r="109" ht="22" customHeight="1">
      <x:c r="A109" s="70"/>
      <x:c r="B109" s="70"/>
      <x:c r="C109" s="70"/>
      <x:c r="D109" s="70"/>
      <x:c r="E109" s="71" t="str">
        <x:f>IFERROR(INDEX('学校信息'!$F$4:$F$53,MATCH(B109,'学校信息'!$A$4:$A$53,0)),"")</x:f>
      </x:c>
      <x:c r="F109" s="71" t="str">
        <x:f>IFERROR(INDEX('学校信息'!$G$4:$G$53,MATCH(B109,'学校信息'!$A$4:$A$53,0)),"")</x:f>
      </x:c>
      <x:c r="G109" s="75"/>
      <x:c r="H109" s="70"/>
      <x:c r="I109" s="70"/>
      <x:c r="J109" s="28"/>
      <x:c r="K109" s="70"/>
      <x:c r="L109" s="70"/>
      <x:c r="M109" s="70"/>
      <x:c r="N109" s="70"/>
      <x:c r="O109" s="70"/>
      <x:c r="P109" s="28"/>
      <x:c r="Q109" s="70"/>
      <x:c r="R109" s="28"/>
      <x:c r="S109" s="28"/>
      <x:c r="T109" s="60" t="str">
        <x:f>IF(COUNTA(A109:D109)+COUNTA(G109:S109)=0,"",IF(OR(A109="",B109="",C109="",D109="",G109="",H109="",J109="",R109=""),"缺少必填项",IF(COUNTIF($A$4:$A$203,A109)&gt;1,"全局队伍ID重复",IF(COUNTIF('学校信息'!$A$4:$A$53,B109)=0,"学校ID不存在",IF(COUNTIFS($B$4:$B$203,B109,$G$4:$G$203,G109,$R$4:$R$203,"启用")&gt;1,"同校Hydro UID重复","通过")))))</x:f>
      </x:c>
    </x:row>
    <x:row r="110" ht="22" customHeight="1">
      <x:c r="A110" s="70"/>
      <x:c r="B110" s="70"/>
      <x:c r="C110" s="70"/>
      <x:c r="D110" s="70"/>
      <x:c r="E110" s="71" t="str">
        <x:f>IFERROR(INDEX('学校信息'!$F$4:$F$53,MATCH(B110,'学校信息'!$A$4:$A$53,0)),"")</x:f>
      </x:c>
      <x:c r="F110" s="71" t="str">
        <x:f>IFERROR(INDEX('学校信息'!$G$4:$G$53,MATCH(B110,'学校信息'!$A$4:$A$53,0)),"")</x:f>
      </x:c>
      <x:c r="G110" s="75"/>
      <x:c r="H110" s="70"/>
      <x:c r="I110" s="70"/>
      <x:c r="J110" s="28"/>
      <x:c r="K110" s="70"/>
      <x:c r="L110" s="70"/>
      <x:c r="M110" s="70"/>
      <x:c r="N110" s="70"/>
      <x:c r="O110" s="70"/>
      <x:c r="P110" s="28"/>
      <x:c r="Q110" s="70"/>
      <x:c r="R110" s="28"/>
      <x:c r="S110" s="28"/>
      <x:c r="T110" s="60" t="str">
        <x:f>IF(COUNTA(A110:D110)+COUNTA(G110:S110)=0,"",IF(OR(A110="",B110="",C110="",D110="",G110="",H110="",J110="",R110=""),"缺少必填项",IF(COUNTIF($A$4:$A$203,A110)&gt;1,"全局队伍ID重复",IF(COUNTIF('学校信息'!$A$4:$A$53,B110)=0,"学校ID不存在",IF(COUNTIFS($B$4:$B$203,B110,$G$4:$G$203,G110,$R$4:$R$203,"启用")&gt;1,"同校Hydro UID重复","通过")))))</x:f>
      </x:c>
    </x:row>
    <x:row r="111" ht="22" customHeight="1">
      <x:c r="A111" s="70"/>
      <x:c r="B111" s="70"/>
      <x:c r="C111" s="70"/>
      <x:c r="D111" s="70"/>
      <x:c r="E111" s="71" t="str">
        <x:f>IFERROR(INDEX('学校信息'!$F$4:$F$53,MATCH(B111,'学校信息'!$A$4:$A$53,0)),"")</x:f>
      </x:c>
      <x:c r="F111" s="71" t="str">
        <x:f>IFERROR(INDEX('学校信息'!$G$4:$G$53,MATCH(B111,'学校信息'!$A$4:$A$53,0)),"")</x:f>
      </x:c>
      <x:c r="G111" s="75"/>
      <x:c r="H111" s="70"/>
      <x:c r="I111" s="70"/>
      <x:c r="J111" s="28"/>
      <x:c r="K111" s="70"/>
      <x:c r="L111" s="70"/>
      <x:c r="M111" s="70"/>
      <x:c r="N111" s="70"/>
      <x:c r="O111" s="70"/>
      <x:c r="P111" s="28"/>
      <x:c r="Q111" s="70"/>
      <x:c r="R111" s="28"/>
      <x:c r="S111" s="28"/>
      <x:c r="T111" s="60" t="str">
        <x:f>IF(COUNTA(A111:D111)+COUNTA(G111:S111)=0,"",IF(OR(A111="",B111="",C111="",D111="",G111="",H111="",J111="",R111=""),"缺少必填项",IF(COUNTIF($A$4:$A$203,A111)&gt;1,"全局队伍ID重复",IF(COUNTIF('学校信息'!$A$4:$A$53,B111)=0,"学校ID不存在",IF(COUNTIFS($B$4:$B$203,B111,$G$4:$G$203,G111,$R$4:$R$203,"启用")&gt;1,"同校Hydro UID重复","通过")))))</x:f>
      </x:c>
    </x:row>
    <x:row r="112" ht="22" customHeight="1">
      <x:c r="A112" s="70"/>
      <x:c r="B112" s="70"/>
      <x:c r="C112" s="70"/>
      <x:c r="D112" s="70"/>
      <x:c r="E112" s="71" t="str">
        <x:f>IFERROR(INDEX('学校信息'!$F$4:$F$53,MATCH(B112,'学校信息'!$A$4:$A$53,0)),"")</x:f>
      </x:c>
      <x:c r="F112" s="71" t="str">
        <x:f>IFERROR(INDEX('学校信息'!$G$4:$G$53,MATCH(B112,'学校信息'!$A$4:$A$53,0)),"")</x:f>
      </x:c>
      <x:c r="G112" s="75"/>
      <x:c r="H112" s="70"/>
      <x:c r="I112" s="70"/>
      <x:c r="J112" s="28"/>
      <x:c r="K112" s="70"/>
      <x:c r="L112" s="70"/>
      <x:c r="M112" s="70"/>
      <x:c r="N112" s="70"/>
      <x:c r="O112" s="70"/>
      <x:c r="P112" s="28"/>
      <x:c r="Q112" s="70"/>
      <x:c r="R112" s="28"/>
      <x:c r="S112" s="28"/>
      <x:c r="T112" s="60" t="str">
        <x:f>IF(COUNTA(A112:D112)+COUNTA(G112:S112)=0,"",IF(OR(A112="",B112="",C112="",D112="",G112="",H112="",J112="",R112=""),"缺少必填项",IF(COUNTIF($A$4:$A$203,A112)&gt;1,"全局队伍ID重复",IF(COUNTIF('学校信息'!$A$4:$A$53,B112)=0,"学校ID不存在",IF(COUNTIFS($B$4:$B$203,B112,$G$4:$G$203,G112,$R$4:$R$203,"启用")&gt;1,"同校Hydro UID重复","通过")))))</x:f>
      </x:c>
    </x:row>
    <x:row r="113" ht="22" customHeight="1">
      <x:c r="A113" s="70"/>
      <x:c r="B113" s="70"/>
      <x:c r="C113" s="70"/>
      <x:c r="D113" s="70"/>
      <x:c r="E113" s="71" t="str">
        <x:f>IFERROR(INDEX('学校信息'!$F$4:$F$53,MATCH(B113,'学校信息'!$A$4:$A$53,0)),"")</x:f>
      </x:c>
      <x:c r="F113" s="71" t="str">
        <x:f>IFERROR(INDEX('学校信息'!$G$4:$G$53,MATCH(B113,'学校信息'!$A$4:$A$53,0)),"")</x:f>
      </x:c>
      <x:c r="G113" s="75"/>
      <x:c r="H113" s="70"/>
      <x:c r="I113" s="70"/>
      <x:c r="J113" s="28"/>
      <x:c r="K113" s="70"/>
      <x:c r="L113" s="70"/>
      <x:c r="M113" s="70"/>
      <x:c r="N113" s="70"/>
      <x:c r="O113" s="70"/>
      <x:c r="P113" s="28"/>
      <x:c r="Q113" s="70"/>
      <x:c r="R113" s="28"/>
      <x:c r="S113" s="28"/>
      <x:c r="T113" s="60" t="str">
        <x:f>IF(COUNTA(A113:D113)+COUNTA(G113:S113)=0,"",IF(OR(A113="",B113="",C113="",D113="",G113="",H113="",J113="",R113=""),"缺少必填项",IF(COUNTIF($A$4:$A$203,A113)&gt;1,"全局队伍ID重复",IF(COUNTIF('学校信息'!$A$4:$A$53,B113)=0,"学校ID不存在",IF(COUNTIFS($B$4:$B$203,B113,$G$4:$G$203,G113,$R$4:$R$203,"启用")&gt;1,"同校Hydro UID重复","通过")))))</x:f>
      </x:c>
    </x:row>
    <x:row r="114" ht="22" customHeight="1">
      <x:c r="A114" s="70"/>
      <x:c r="B114" s="70"/>
      <x:c r="C114" s="70"/>
      <x:c r="D114" s="70"/>
      <x:c r="E114" s="71" t="str">
        <x:f>IFERROR(INDEX('学校信息'!$F$4:$F$53,MATCH(B114,'学校信息'!$A$4:$A$53,0)),"")</x:f>
      </x:c>
      <x:c r="F114" s="71" t="str">
        <x:f>IFERROR(INDEX('学校信息'!$G$4:$G$53,MATCH(B114,'学校信息'!$A$4:$A$53,0)),"")</x:f>
      </x:c>
      <x:c r="G114" s="75"/>
      <x:c r="H114" s="70"/>
      <x:c r="I114" s="70"/>
      <x:c r="J114" s="28"/>
      <x:c r="K114" s="70"/>
      <x:c r="L114" s="70"/>
      <x:c r="M114" s="70"/>
      <x:c r="N114" s="70"/>
      <x:c r="O114" s="70"/>
      <x:c r="P114" s="28"/>
      <x:c r="Q114" s="70"/>
      <x:c r="R114" s="28"/>
      <x:c r="S114" s="28"/>
      <x:c r="T114" s="60" t="str">
        <x:f>IF(COUNTA(A114:D114)+COUNTA(G114:S114)=0,"",IF(OR(A114="",B114="",C114="",D114="",G114="",H114="",J114="",R114=""),"缺少必填项",IF(COUNTIF($A$4:$A$203,A114)&gt;1,"全局队伍ID重复",IF(COUNTIF('学校信息'!$A$4:$A$53,B114)=0,"学校ID不存在",IF(COUNTIFS($B$4:$B$203,B114,$G$4:$G$203,G114,$R$4:$R$203,"启用")&gt;1,"同校Hydro UID重复","通过")))))</x:f>
      </x:c>
    </x:row>
    <x:row r="115" ht="22" customHeight="1">
      <x:c r="A115" s="70"/>
      <x:c r="B115" s="70"/>
      <x:c r="C115" s="70"/>
      <x:c r="D115" s="70"/>
      <x:c r="E115" s="71" t="str">
        <x:f>IFERROR(INDEX('学校信息'!$F$4:$F$53,MATCH(B115,'学校信息'!$A$4:$A$53,0)),"")</x:f>
      </x:c>
      <x:c r="F115" s="71" t="str">
        <x:f>IFERROR(INDEX('学校信息'!$G$4:$G$53,MATCH(B115,'学校信息'!$A$4:$A$53,0)),"")</x:f>
      </x:c>
      <x:c r="G115" s="75"/>
      <x:c r="H115" s="70"/>
      <x:c r="I115" s="70"/>
      <x:c r="J115" s="28"/>
      <x:c r="K115" s="70"/>
      <x:c r="L115" s="70"/>
      <x:c r="M115" s="70"/>
      <x:c r="N115" s="70"/>
      <x:c r="O115" s="70"/>
      <x:c r="P115" s="28"/>
      <x:c r="Q115" s="70"/>
      <x:c r="R115" s="28"/>
      <x:c r="S115" s="28"/>
      <x:c r="T115" s="60" t="str">
        <x:f>IF(COUNTA(A115:D115)+COUNTA(G115:S115)=0,"",IF(OR(A115="",B115="",C115="",D115="",G115="",H115="",J115="",R115=""),"缺少必填项",IF(COUNTIF($A$4:$A$203,A115)&gt;1,"全局队伍ID重复",IF(COUNTIF('学校信息'!$A$4:$A$53,B115)=0,"学校ID不存在",IF(COUNTIFS($B$4:$B$203,B115,$G$4:$G$203,G115,$R$4:$R$203,"启用")&gt;1,"同校Hydro UID重复","通过")))))</x:f>
      </x:c>
    </x:row>
    <x:row r="116" ht="22" customHeight="1">
      <x:c r="A116" s="70"/>
      <x:c r="B116" s="70"/>
      <x:c r="C116" s="70"/>
      <x:c r="D116" s="70"/>
      <x:c r="E116" s="71" t="str">
        <x:f>IFERROR(INDEX('学校信息'!$F$4:$F$53,MATCH(B116,'学校信息'!$A$4:$A$53,0)),"")</x:f>
      </x:c>
      <x:c r="F116" s="71" t="str">
        <x:f>IFERROR(INDEX('学校信息'!$G$4:$G$53,MATCH(B116,'学校信息'!$A$4:$A$53,0)),"")</x:f>
      </x:c>
      <x:c r="G116" s="75"/>
      <x:c r="H116" s="70"/>
      <x:c r="I116" s="70"/>
      <x:c r="J116" s="28"/>
      <x:c r="K116" s="70"/>
      <x:c r="L116" s="70"/>
      <x:c r="M116" s="70"/>
      <x:c r="N116" s="70"/>
      <x:c r="O116" s="70"/>
      <x:c r="P116" s="28"/>
      <x:c r="Q116" s="70"/>
      <x:c r="R116" s="28"/>
      <x:c r="S116" s="28"/>
      <x:c r="T116" s="60" t="str">
        <x:f>IF(COUNTA(A116:D116)+COUNTA(G116:S116)=0,"",IF(OR(A116="",B116="",C116="",D116="",G116="",H116="",J116="",R116=""),"缺少必填项",IF(COUNTIF($A$4:$A$203,A116)&gt;1,"全局队伍ID重复",IF(COUNTIF('学校信息'!$A$4:$A$53,B116)=0,"学校ID不存在",IF(COUNTIFS($B$4:$B$203,B116,$G$4:$G$203,G116,$R$4:$R$203,"启用")&gt;1,"同校Hydro UID重复","通过")))))</x:f>
      </x:c>
    </x:row>
    <x:row r="117" ht="22" customHeight="1">
      <x:c r="A117" s="70"/>
      <x:c r="B117" s="70"/>
      <x:c r="C117" s="70"/>
      <x:c r="D117" s="70"/>
      <x:c r="E117" s="71" t="str">
        <x:f>IFERROR(INDEX('学校信息'!$F$4:$F$53,MATCH(B117,'学校信息'!$A$4:$A$53,0)),"")</x:f>
      </x:c>
      <x:c r="F117" s="71" t="str">
        <x:f>IFERROR(INDEX('学校信息'!$G$4:$G$53,MATCH(B117,'学校信息'!$A$4:$A$53,0)),"")</x:f>
      </x:c>
      <x:c r="G117" s="75"/>
      <x:c r="H117" s="70"/>
      <x:c r="I117" s="70"/>
      <x:c r="J117" s="28"/>
      <x:c r="K117" s="70"/>
      <x:c r="L117" s="70"/>
      <x:c r="M117" s="70"/>
      <x:c r="N117" s="70"/>
      <x:c r="O117" s="70"/>
      <x:c r="P117" s="28"/>
      <x:c r="Q117" s="70"/>
      <x:c r="R117" s="28"/>
      <x:c r="S117" s="28"/>
      <x:c r="T117" s="60" t="str">
        <x:f>IF(COUNTA(A117:D117)+COUNTA(G117:S117)=0,"",IF(OR(A117="",B117="",C117="",D117="",G117="",H117="",J117="",R117=""),"缺少必填项",IF(COUNTIF($A$4:$A$203,A117)&gt;1,"全局队伍ID重复",IF(COUNTIF('学校信息'!$A$4:$A$53,B117)=0,"学校ID不存在",IF(COUNTIFS($B$4:$B$203,B117,$G$4:$G$203,G117,$R$4:$R$203,"启用")&gt;1,"同校Hydro UID重复","通过")))))</x:f>
      </x:c>
    </x:row>
    <x:row r="118" ht="22" customHeight="1">
      <x:c r="A118" s="70"/>
      <x:c r="B118" s="70"/>
      <x:c r="C118" s="70"/>
      <x:c r="D118" s="70"/>
      <x:c r="E118" s="71" t="str">
        <x:f>IFERROR(INDEX('学校信息'!$F$4:$F$53,MATCH(B118,'学校信息'!$A$4:$A$53,0)),"")</x:f>
      </x:c>
      <x:c r="F118" s="71" t="str">
        <x:f>IFERROR(INDEX('学校信息'!$G$4:$G$53,MATCH(B118,'学校信息'!$A$4:$A$53,0)),"")</x:f>
      </x:c>
      <x:c r="G118" s="75"/>
      <x:c r="H118" s="70"/>
      <x:c r="I118" s="70"/>
      <x:c r="J118" s="28"/>
      <x:c r="K118" s="70"/>
      <x:c r="L118" s="70"/>
      <x:c r="M118" s="70"/>
      <x:c r="N118" s="70"/>
      <x:c r="O118" s="70"/>
      <x:c r="P118" s="28"/>
      <x:c r="Q118" s="70"/>
      <x:c r="R118" s="28"/>
      <x:c r="S118" s="28"/>
      <x:c r="T118" s="60" t="str">
        <x:f>IF(COUNTA(A118:D118)+COUNTA(G118:S118)=0,"",IF(OR(A118="",B118="",C118="",D118="",G118="",H118="",J118="",R118=""),"缺少必填项",IF(COUNTIF($A$4:$A$203,A118)&gt;1,"全局队伍ID重复",IF(COUNTIF('学校信息'!$A$4:$A$53,B118)=0,"学校ID不存在",IF(COUNTIFS($B$4:$B$203,B118,$G$4:$G$203,G118,$R$4:$R$203,"启用")&gt;1,"同校Hydro UID重复","通过")))))</x:f>
      </x:c>
    </x:row>
    <x:row r="119" ht="22" customHeight="1">
      <x:c r="A119" s="70"/>
      <x:c r="B119" s="70"/>
      <x:c r="C119" s="70"/>
      <x:c r="D119" s="70"/>
      <x:c r="E119" s="71" t="str">
        <x:f>IFERROR(INDEX('学校信息'!$F$4:$F$53,MATCH(B119,'学校信息'!$A$4:$A$53,0)),"")</x:f>
      </x:c>
      <x:c r="F119" s="71" t="str">
        <x:f>IFERROR(INDEX('学校信息'!$G$4:$G$53,MATCH(B119,'学校信息'!$A$4:$A$53,0)),"")</x:f>
      </x:c>
      <x:c r="G119" s="75"/>
      <x:c r="H119" s="70"/>
      <x:c r="I119" s="70"/>
      <x:c r="J119" s="28"/>
      <x:c r="K119" s="70"/>
      <x:c r="L119" s="70"/>
      <x:c r="M119" s="70"/>
      <x:c r="N119" s="70"/>
      <x:c r="O119" s="70"/>
      <x:c r="P119" s="28"/>
      <x:c r="Q119" s="70"/>
      <x:c r="R119" s="28"/>
      <x:c r="S119" s="28"/>
      <x:c r="T119" s="60" t="str">
        <x:f>IF(COUNTA(A119:D119)+COUNTA(G119:S119)=0,"",IF(OR(A119="",B119="",C119="",D119="",G119="",H119="",J119="",R119=""),"缺少必填项",IF(COUNTIF($A$4:$A$203,A119)&gt;1,"全局队伍ID重复",IF(COUNTIF('学校信息'!$A$4:$A$53,B119)=0,"学校ID不存在",IF(COUNTIFS($B$4:$B$203,B119,$G$4:$G$203,G119,$R$4:$R$203,"启用")&gt;1,"同校Hydro UID重复","通过")))))</x:f>
      </x:c>
    </x:row>
    <x:row r="120" ht="22" customHeight="1">
      <x:c r="A120" s="70"/>
      <x:c r="B120" s="70"/>
      <x:c r="C120" s="70"/>
      <x:c r="D120" s="70"/>
      <x:c r="E120" s="71" t="str">
        <x:f>IFERROR(INDEX('学校信息'!$F$4:$F$53,MATCH(B120,'学校信息'!$A$4:$A$53,0)),"")</x:f>
      </x:c>
      <x:c r="F120" s="71" t="str">
        <x:f>IFERROR(INDEX('学校信息'!$G$4:$G$53,MATCH(B120,'学校信息'!$A$4:$A$53,0)),"")</x:f>
      </x:c>
      <x:c r="G120" s="75"/>
      <x:c r="H120" s="70"/>
      <x:c r="I120" s="70"/>
      <x:c r="J120" s="28"/>
      <x:c r="K120" s="70"/>
      <x:c r="L120" s="70"/>
      <x:c r="M120" s="70"/>
      <x:c r="N120" s="70"/>
      <x:c r="O120" s="70"/>
      <x:c r="P120" s="28"/>
      <x:c r="Q120" s="70"/>
      <x:c r="R120" s="28"/>
      <x:c r="S120" s="28"/>
      <x:c r="T120" s="60" t="str">
        <x:f>IF(COUNTA(A120:D120)+COUNTA(G120:S120)=0,"",IF(OR(A120="",B120="",C120="",D120="",G120="",H120="",J120="",R120=""),"缺少必填项",IF(COUNTIF($A$4:$A$203,A120)&gt;1,"全局队伍ID重复",IF(COUNTIF('学校信息'!$A$4:$A$53,B120)=0,"学校ID不存在",IF(COUNTIFS($B$4:$B$203,B120,$G$4:$G$203,G120,$R$4:$R$203,"启用")&gt;1,"同校Hydro UID重复","通过")))))</x:f>
      </x:c>
    </x:row>
    <x:row r="121" ht="22" customHeight="1">
      <x:c r="A121" s="70"/>
      <x:c r="B121" s="70"/>
      <x:c r="C121" s="70"/>
      <x:c r="D121" s="70"/>
      <x:c r="E121" s="71" t="str">
        <x:f>IFERROR(INDEX('学校信息'!$F$4:$F$53,MATCH(B121,'学校信息'!$A$4:$A$53,0)),"")</x:f>
      </x:c>
      <x:c r="F121" s="71" t="str">
        <x:f>IFERROR(INDEX('学校信息'!$G$4:$G$53,MATCH(B121,'学校信息'!$A$4:$A$53,0)),"")</x:f>
      </x:c>
      <x:c r="G121" s="75"/>
      <x:c r="H121" s="70"/>
      <x:c r="I121" s="70"/>
      <x:c r="J121" s="28"/>
      <x:c r="K121" s="70"/>
      <x:c r="L121" s="70"/>
      <x:c r="M121" s="70"/>
      <x:c r="N121" s="70"/>
      <x:c r="O121" s="70"/>
      <x:c r="P121" s="28"/>
      <x:c r="Q121" s="70"/>
      <x:c r="R121" s="28"/>
      <x:c r="S121" s="28"/>
      <x:c r="T121" s="60" t="str">
        <x:f>IF(COUNTA(A121:D121)+COUNTA(G121:S121)=0,"",IF(OR(A121="",B121="",C121="",D121="",G121="",H121="",J121="",R121=""),"缺少必填项",IF(COUNTIF($A$4:$A$203,A121)&gt;1,"全局队伍ID重复",IF(COUNTIF('学校信息'!$A$4:$A$53,B121)=0,"学校ID不存在",IF(COUNTIFS($B$4:$B$203,B121,$G$4:$G$203,G121,$R$4:$R$203,"启用")&gt;1,"同校Hydro UID重复","通过")))))</x:f>
      </x:c>
    </x:row>
    <x:row r="122" ht="22" customHeight="1">
      <x:c r="A122" s="70"/>
      <x:c r="B122" s="70"/>
      <x:c r="C122" s="70"/>
      <x:c r="D122" s="70"/>
      <x:c r="E122" s="71" t="str">
        <x:f>IFERROR(INDEX('学校信息'!$F$4:$F$53,MATCH(B122,'学校信息'!$A$4:$A$53,0)),"")</x:f>
      </x:c>
      <x:c r="F122" s="71" t="str">
        <x:f>IFERROR(INDEX('学校信息'!$G$4:$G$53,MATCH(B122,'学校信息'!$A$4:$A$53,0)),"")</x:f>
      </x:c>
      <x:c r="G122" s="75"/>
      <x:c r="H122" s="70"/>
      <x:c r="I122" s="70"/>
      <x:c r="J122" s="28"/>
      <x:c r="K122" s="70"/>
      <x:c r="L122" s="70"/>
      <x:c r="M122" s="70"/>
      <x:c r="N122" s="70"/>
      <x:c r="O122" s="70"/>
      <x:c r="P122" s="28"/>
      <x:c r="Q122" s="70"/>
      <x:c r="R122" s="28"/>
      <x:c r="S122" s="28"/>
      <x:c r="T122" s="60" t="str">
        <x:f>IF(COUNTA(A122:D122)+COUNTA(G122:S122)=0,"",IF(OR(A122="",B122="",C122="",D122="",G122="",H122="",J122="",R122=""),"缺少必填项",IF(COUNTIF($A$4:$A$203,A122)&gt;1,"全局队伍ID重复",IF(COUNTIF('学校信息'!$A$4:$A$53,B122)=0,"学校ID不存在",IF(COUNTIFS($B$4:$B$203,B122,$G$4:$G$203,G122,$R$4:$R$203,"启用")&gt;1,"同校Hydro UID重复","通过")))))</x:f>
      </x:c>
    </x:row>
    <x:row r="123" ht="22" customHeight="1">
      <x:c r="A123" s="70"/>
      <x:c r="B123" s="70"/>
      <x:c r="C123" s="70"/>
      <x:c r="D123" s="70"/>
      <x:c r="E123" s="71" t="str">
        <x:f>IFERROR(INDEX('学校信息'!$F$4:$F$53,MATCH(B123,'学校信息'!$A$4:$A$53,0)),"")</x:f>
      </x:c>
      <x:c r="F123" s="71" t="str">
        <x:f>IFERROR(INDEX('学校信息'!$G$4:$G$53,MATCH(B123,'学校信息'!$A$4:$A$53,0)),"")</x:f>
      </x:c>
      <x:c r="G123" s="75"/>
      <x:c r="H123" s="70"/>
      <x:c r="I123" s="70"/>
      <x:c r="J123" s="28"/>
      <x:c r="K123" s="70"/>
      <x:c r="L123" s="70"/>
      <x:c r="M123" s="70"/>
      <x:c r="N123" s="70"/>
      <x:c r="O123" s="70"/>
      <x:c r="P123" s="28"/>
      <x:c r="Q123" s="70"/>
      <x:c r="R123" s="28"/>
      <x:c r="S123" s="28"/>
      <x:c r="T123" s="60" t="str">
        <x:f>IF(COUNTA(A123:D123)+COUNTA(G123:S123)=0,"",IF(OR(A123="",B123="",C123="",D123="",G123="",H123="",J123="",R123=""),"缺少必填项",IF(COUNTIF($A$4:$A$203,A123)&gt;1,"全局队伍ID重复",IF(COUNTIF('学校信息'!$A$4:$A$53,B123)=0,"学校ID不存在",IF(COUNTIFS($B$4:$B$203,B123,$G$4:$G$203,G123,$R$4:$R$203,"启用")&gt;1,"同校Hydro UID重复","通过")))))</x:f>
      </x:c>
    </x:row>
    <x:row r="124" ht="22" customHeight="1">
      <x:c r="A124" s="70"/>
      <x:c r="B124" s="70"/>
      <x:c r="C124" s="70"/>
      <x:c r="D124" s="70"/>
      <x:c r="E124" s="71" t="str">
        <x:f>IFERROR(INDEX('学校信息'!$F$4:$F$53,MATCH(B124,'学校信息'!$A$4:$A$53,0)),"")</x:f>
      </x:c>
      <x:c r="F124" s="71" t="str">
        <x:f>IFERROR(INDEX('学校信息'!$G$4:$G$53,MATCH(B124,'学校信息'!$A$4:$A$53,0)),"")</x:f>
      </x:c>
      <x:c r="G124" s="75"/>
      <x:c r="H124" s="70"/>
      <x:c r="I124" s="70"/>
      <x:c r="J124" s="28"/>
      <x:c r="K124" s="70"/>
      <x:c r="L124" s="70"/>
      <x:c r="M124" s="70"/>
      <x:c r="N124" s="70"/>
      <x:c r="O124" s="70"/>
      <x:c r="P124" s="28"/>
      <x:c r="Q124" s="70"/>
      <x:c r="R124" s="28"/>
      <x:c r="S124" s="28"/>
      <x:c r="T124" s="60" t="str">
        <x:f>IF(COUNTA(A124:D124)+COUNTA(G124:S124)=0,"",IF(OR(A124="",B124="",C124="",D124="",G124="",H124="",J124="",R124=""),"缺少必填项",IF(COUNTIF($A$4:$A$203,A124)&gt;1,"全局队伍ID重复",IF(COUNTIF('学校信息'!$A$4:$A$53,B124)=0,"学校ID不存在",IF(COUNTIFS($B$4:$B$203,B124,$G$4:$G$203,G124,$R$4:$R$203,"启用")&gt;1,"同校Hydro UID重复","通过")))))</x:f>
      </x:c>
    </x:row>
    <x:row r="125" ht="22" customHeight="1">
      <x:c r="A125" s="70"/>
      <x:c r="B125" s="70"/>
      <x:c r="C125" s="70"/>
      <x:c r="D125" s="70"/>
      <x:c r="E125" s="71" t="str">
        <x:f>IFERROR(INDEX('学校信息'!$F$4:$F$53,MATCH(B125,'学校信息'!$A$4:$A$53,0)),"")</x:f>
      </x:c>
      <x:c r="F125" s="71" t="str">
        <x:f>IFERROR(INDEX('学校信息'!$G$4:$G$53,MATCH(B125,'学校信息'!$A$4:$A$53,0)),"")</x:f>
      </x:c>
      <x:c r="G125" s="75"/>
      <x:c r="H125" s="70"/>
      <x:c r="I125" s="70"/>
      <x:c r="J125" s="28"/>
      <x:c r="K125" s="70"/>
      <x:c r="L125" s="70"/>
      <x:c r="M125" s="70"/>
      <x:c r="N125" s="70"/>
      <x:c r="O125" s="70"/>
      <x:c r="P125" s="28"/>
      <x:c r="Q125" s="70"/>
      <x:c r="R125" s="28"/>
      <x:c r="S125" s="28"/>
      <x:c r="T125" s="60" t="str">
        <x:f>IF(COUNTA(A125:D125)+COUNTA(G125:S125)=0,"",IF(OR(A125="",B125="",C125="",D125="",G125="",H125="",J125="",R125=""),"缺少必填项",IF(COUNTIF($A$4:$A$203,A125)&gt;1,"全局队伍ID重复",IF(COUNTIF('学校信息'!$A$4:$A$53,B125)=0,"学校ID不存在",IF(COUNTIFS($B$4:$B$203,B125,$G$4:$G$203,G125,$R$4:$R$203,"启用")&gt;1,"同校Hydro UID重复","通过")))))</x:f>
      </x:c>
    </x:row>
    <x:row r="126" ht="22" customHeight="1">
      <x:c r="A126" s="70"/>
      <x:c r="B126" s="70"/>
      <x:c r="C126" s="70"/>
      <x:c r="D126" s="70"/>
      <x:c r="E126" s="71" t="str">
        <x:f>IFERROR(INDEX('学校信息'!$F$4:$F$53,MATCH(B126,'学校信息'!$A$4:$A$53,0)),"")</x:f>
      </x:c>
      <x:c r="F126" s="71" t="str">
        <x:f>IFERROR(INDEX('学校信息'!$G$4:$G$53,MATCH(B126,'学校信息'!$A$4:$A$53,0)),"")</x:f>
      </x:c>
      <x:c r="G126" s="75"/>
      <x:c r="H126" s="70"/>
      <x:c r="I126" s="70"/>
      <x:c r="J126" s="28"/>
      <x:c r="K126" s="70"/>
      <x:c r="L126" s="70"/>
      <x:c r="M126" s="70"/>
      <x:c r="N126" s="70"/>
      <x:c r="O126" s="70"/>
      <x:c r="P126" s="28"/>
      <x:c r="Q126" s="70"/>
      <x:c r="R126" s="28"/>
      <x:c r="S126" s="28"/>
      <x:c r="T126" s="60" t="str">
        <x:f>IF(COUNTA(A126:D126)+COUNTA(G126:S126)=0,"",IF(OR(A126="",B126="",C126="",D126="",G126="",H126="",J126="",R126=""),"缺少必填项",IF(COUNTIF($A$4:$A$203,A126)&gt;1,"全局队伍ID重复",IF(COUNTIF('学校信息'!$A$4:$A$53,B126)=0,"学校ID不存在",IF(COUNTIFS($B$4:$B$203,B126,$G$4:$G$203,G126,$R$4:$R$203,"启用")&gt;1,"同校Hydro UID重复","通过")))))</x:f>
      </x:c>
    </x:row>
    <x:row r="127" ht="22" customHeight="1">
      <x:c r="A127" s="70"/>
      <x:c r="B127" s="70"/>
      <x:c r="C127" s="70"/>
      <x:c r="D127" s="70"/>
      <x:c r="E127" s="71" t="str">
        <x:f>IFERROR(INDEX('学校信息'!$F$4:$F$53,MATCH(B127,'学校信息'!$A$4:$A$53,0)),"")</x:f>
      </x:c>
      <x:c r="F127" s="71" t="str">
        <x:f>IFERROR(INDEX('学校信息'!$G$4:$G$53,MATCH(B127,'学校信息'!$A$4:$A$53,0)),"")</x:f>
      </x:c>
      <x:c r="G127" s="75"/>
      <x:c r="H127" s="70"/>
      <x:c r="I127" s="70"/>
      <x:c r="J127" s="28"/>
      <x:c r="K127" s="70"/>
      <x:c r="L127" s="70"/>
      <x:c r="M127" s="70"/>
      <x:c r="N127" s="70"/>
      <x:c r="O127" s="70"/>
      <x:c r="P127" s="28"/>
      <x:c r="Q127" s="70"/>
      <x:c r="R127" s="28"/>
      <x:c r="S127" s="28"/>
      <x:c r="T127" s="60" t="str">
        <x:f>IF(COUNTA(A127:D127)+COUNTA(G127:S127)=0,"",IF(OR(A127="",B127="",C127="",D127="",G127="",H127="",J127="",R127=""),"缺少必填项",IF(COUNTIF($A$4:$A$203,A127)&gt;1,"全局队伍ID重复",IF(COUNTIF('学校信息'!$A$4:$A$53,B127)=0,"学校ID不存在",IF(COUNTIFS($B$4:$B$203,B127,$G$4:$G$203,G127,$R$4:$R$203,"启用")&gt;1,"同校Hydro UID重复","通过")))))</x:f>
      </x:c>
    </x:row>
    <x:row r="128" ht="22" customHeight="1">
      <x:c r="A128" s="70"/>
      <x:c r="B128" s="70"/>
      <x:c r="C128" s="70"/>
      <x:c r="D128" s="70"/>
      <x:c r="E128" s="71" t="str">
        <x:f>IFERROR(INDEX('学校信息'!$F$4:$F$53,MATCH(B128,'学校信息'!$A$4:$A$53,0)),"")</x:f>
      </x:c>
      <x:c r="F128" s="71" t="str">
        <x:f>IFERROR(INDEX('学校信息'!$G$4:$G$53,MATCH(B128,'学校信息'!$A$4:$A$53,0)),"")</x:f>
      </x:c>
      <x:c r="G128" s="75"/>
      <x:c r="H128" s="70"/>
      <x:c r="I128" s="70"/>
      <x:c r="J128" s="28"/>
      <x:c r="K128" s="70"/>
      <x:c r="L128" s="70"/>
      <x:c r="M128" s="70"/>
      <x:c r="N128" s="70"/>
      <x:c r="O128" s="70"/>
      <x:c r="P128" s="28"/>
      <x:c r="Q128" s="70"/>
      <x:c r="R128" s="28"/>
      <x:c r="S128" s="28"/>
      <x:c r="T128" s="60" t="str">
        <x:f>IF(COUNTA(A128:D128)+COUNTA(G128:S128)=0,"",IF(OR(A128="",B128="",C128="",D128="",G128="",H128="",J128="",R128=""),"缺少必填项",IF(COUNTIF($A$4:$A$203,A128)&gt;1,"全局队伍ID重复",IF(COUNTIF('学校信息'!$A$4:$A$53,B128)=0,"学校ID不存在",IF(COUNTIFS($B$4:$B$203,B128,$G$4:$G$203,G128,$R$4:$R$203,"启用")&gt;1,"同校Hydro UID重复","通过")))))</x:f>
      </x:c>
    </x:row>
    <x:row r="129" ht="22" customHeight="1">
      <x:c r="A129" s="70"/>
      <x:c r="B129" s="70"/>
      <x:c r="C129" s="70"/>
      <x:c r="D129" s="70"/>
      <x:c r="E129" s="71" t="str">
        <x:f>IFERROR(INDEX('学校信息'!$F$4:$F$53,MATCH(B129,'学校信息'!$A$4:$A$53,0)),"")</x:f>
      </x:c>
      <x:c r="F129" s="71" t="str">
        <x:f>IFERROR(INDEX('学校信息'!$G$4:$G$53,MATCH(B129,'学校信息'!$A$4:$A$53,0)),"")</x:f>
      </x:c>
      <x:c r="G129" s="75"/>
      <x:c r="H129" s="70"/>
      <x:c r="I129" s="70"/>
      <x:c r="J129" s="28"/>
      <x:c r="K129" s="70"/>
      <x:c r="L129" s="70"/>
      <x:c r="M129" s="70"/>
      <x:c r="N129" s="70"/>
      <x:c r="O129" s="70"/>
      <x:c r="P129" s="28"/>
      <x:c r="Q129" s="70"/>
      <x:c r="R129" s="28"/>
      <x:c r="S129" s="28"/>
      <x:c r="T129" s="60" t="str">
        <x:f>IF(COUNTA(A129:D129)+COUNTA(G129:S129)=0,"",IF(OR(A129="",B129="",C129="",D129="",G129="",H129="",J129="",R129=""),"缺少必填项",IF(COUNTIF($A$4:$A$203,A129)&gt;1,"全局队伍ID重复",IF(COUNTIF('学校信息'!$A$4:$A$53,B129)=0,"学校ID不存在",IF(COUNTIFS($B$4:$B$203,B129,$G$4:$G$203,G129,$R$4:$R$203,"启用")&gt;1,"同校Hydro UID重复","通过")))))</x:f>
      </x:c>
    </x:row>
    <x:row r="130" ht="22" customHeight="1">
      <x:c r="A130" s="70"/>
      <x:c r="B130" s="70"/>
      <x:c r="C130" s="70"/>
      <x:c r="D130" s="70"/>
      <x:c r="E130" s="71" t="str">
        <x:f>IFERROR(INDEX('学校信息'!$F$4:$F$53,MATCH(B130,'学校信息'!$A$4:$A$53,0)),"")</x:f>
      </x:c>
      <x:c r="F130" s="71" t="str">
        <x:f>IFERROR(INDEX('学校信息'!$G$4:$G$53,MATCH(B130,'学校信息'!$A$4:$A$53,0)),"")</x:f>
      </x:c>
      <x:c r="G130" s="75"/>
      <x:c r="H130" s="70"/>
      <x:c r="I130" s="70"/>
      <x:c r="J130" s="28"/>
      <x:c r="K130" s="70"/>
      <x:c r="L130" s="70"/>
      <x:c r="M130" s="70"/>
      <x:c r="N130" s="70"/>
      <x:c r="O130" s="70"/>
      <x:c r="P130" s="28"/>
      <x:c r="Q130" s="70"/>
      <x:c r="R130" s="28"/>
      <x:c r="S130" s="28"/>
      <x:c r="T130" s="60" t="str">
        <x:f>IF(COUNTA(A130:D130)+COUNTA(G130:S130)=0,"",IF(OR(A130="",B130="",C130="",D130="",G130="",H130="",J130="",R130=""),"缺少必填项",IF(COUNTIF($A$4:$A$203,A130)&gt;1,"全局队伍ID重复",IF(COUNTIF('学校信息'!$A$4:$A$53,B130)=0,"学校ID不存在",IF(COUNTIFS($B$4:$B$203,B130,$G$4:$G$203,G130,$R$4:$R$203,"启用")&gt;1,"同校Hydro UID重复","通过")))))</x:f>
      </x:c>
    </x:row>
    <x:row r="131" ht="22" customHeight="1">
      <x:c r="A131" s="70"/>
      <x:c r="B131" s="70"/>
      <x:c r="C131" s="70"/>
      <x:c r="D131" s="70"/>
      <x:c r="E131" s="71" t="str">
        <x:f>IFERROR(INDEX('学校信息'!$F$4:$F$53,MATCH(B131,'学校信息'!$A$4:$A$53,0)),"")</x:f>
      </x:c>
      <x:c r="F131" s="71" t="str">
        <x:f>IFERROR(INDEX('学校信息'!$G$4:$G$53,MATCH(B131,'学校信息'!$A$4:$A$53,0)),"")</x:f>
      </x:c>
      <x:c r="G131" s="75"/>
      <x:c r="H131" s="70"/>
      <x:c r="I131" s="70"/>
      <x:c r="J131" s="28"/>
      <x:c r="K131" s="70"/>
      <x:c r="L131" s="70"/>
      <x:c r="M131" s="70"/>
      <x:c r="N131" s="70"/>
      <x:c r="O131" s="70"/>
      <x:c r="P131" s="28"/>
      <x:c r="Q131" s="70"/>
      <x:c r="R131" s="28"/>
      <x:c r="S131" s="28"/>
      <x:c r="T131" s="60" t="str">
        <x:f>IF(COUNTA(A131:D131)+COUNTA(G131:S131)=0,"",IF(OR(A131="",B131="",C131="",D131="",G131="",H131="",J131="",R131=""),"缺少必填项",IF(COUNTIF($A$4:$A$203,A131)&gt;1,"全局队伍ID重复",IF(COUNTIF('学校信息'!$A$4:$A$53,B131)=0,"学校ID不存在",IF(COUNTIFS($B$4:$B$203,B131,$G$4:$G$203,G131,$R$4:$R$203,"启用")&gt;1,"同校Hydro UID重复","通过")))))</x:f>
      </x:c>
    </x:row>
    <x:row r="132" ht="22" customHeight="1">
      <x:c r="A132" s="70"/>
      <x:c r="B132" s="70"/>
      <x:c r="C132" s="70"/>
      <x:c r="D132" s="70"/>
      <x:c r="E132" s="71" t="str">
        <x:f>IFERROR(INDEX('学校信息'!$F$4:$F$53,MATCH(B132,'学校信息'!$A$4:$A$53,0)),"")</x:f>
      </x:c>
      <x:c r="F132" s="71" t="str">
        <x:f>IFERROR(INDEX('学校信息'!$G$4:$G$53,MATCH(B132,'学校信息'!$A$4:$A$53,0)),"")</x:f>
      </x:c>
      <x:c r="G132" s="75"/>
      <x:c r="H132" s="70"/>
      <x:c r="I132" s="70"/>
      <x:c r="J132" s="28"/>
      <x:c r="K132" s="70"/>
      <x:c r="L132" s="70"/>
      <x:c r="M132" s="70"/>
      <x:c r="N132" s="70"/>
      <x:c r="O132" s="70"/>
      <x:c r="P132" s="28"/>
      <x:c r="Q132" s="70"/>
      <x:c r="R132" s="28"/>
      <x:c r="S132" s="28"/>
      <x:c r="T132" s="60" t="str">
        <x:f>IF(COUNTA(A132:D132)+COUNTA(G132:S132)=0,"",IF(OR(A132="",B132="",C132="",D132="",G132="",H132="",J132="",R132=""),"缺少必填项",IF(COUNTIF($A$4:$A$203,A132)&gt;1,"全局队伍ID重复",IF(COUNTIF('学校信息'!$A$4:$A$53,B132)=0,"学校ID不存在",IF(COUNTIFS($B$4:$B$203,B132,$G$4:$G$203,G132,$R$4:$R$203,"启用")&gt;1,"同校Hydro UID重复","通过")))))</x:f>
      </x:c>
    </x:row>
    <x:row r="133" ht="22" customHeight="1">
      <x:c r="A133" s="70"/>
      <x:c r="B133" s="70"/>
      <x:c r="C133" s="70"/>
      <x:c r="D133" s="70"/>
      <x:c r="E133" s="71" t="str">
        <x:f>IFERROR(INDEX('学校信息'!$F$4:$F$53,MATCH(B133,'学校信息'!$A$4:$A$53,0)),"")</x:f>
      </x:c>
      <x:c r="F133" s="71" t="str">
        <x:f>IFERROR(INDEX('学校信息'!$G$4:$G$53,MATCH(B133,'学校信息'!$A$4:$A$53,0)),"")</x:f>
      </x:c>
      <x:c r="G133" s="75"/>
      <x:c r="H133" s="70"/>
      <x:c r="I133" s="70"/>
      <x:c r="J133" s="28"/>
      <x:c r="K133" s="70"/>
      <x:c r="L133" s="70"/>
      <x:c r="M133" s="70"/>
      <x:c r="N133" s="70"/>
      <x:c r="O133" s="70"/>
      <x:c r="P133" s="28"/>
      <x:c r="Q133" s="70"/>
      <x:c r="R133" s="28"/>
      <x:c r="S133" s="28"/>
      <x:c r="T133" s="60" t="str">
        <x:f>IF(COUNTA(A133:D133)+COUNTA(G133:S133)=0,"",IF(OR(A133="",B133="",C133="",D133="",G133="",H133="",J133="",R133=""),"缺少必填项",IF(COUNTIF($A$4:$A$203,A133)&gt;1,"全局队伍ID重复",IF(COUNTIF('学校信息'!$A$4:$A$53,B133)=0,"学校ID不存在",IF(COUNTIFS($B$4:$B$203,B133,$G$4:$G$203,G133,$R$4:$R$203,"启用")&gt;1,"同校Hydro UID重复","通过")))))</x:f>
      </x:c>
    </x:row>
    <x:row r="134" ht="22" customHeight="1">
      <x:c r="A134" s="70"/>
      <x:c r="B134" s="70"/>
      <x:c r="C134" s="70"/>
      <x:c r="D134" s="70"/>
      <x:c r="E134" s="71" t="str">
        <x:f>IFERROR(INDEX('学校信息'!$F$4:$F$53,MATCH(B134,'学校信息'!$A$4:$A$53,0)),"")</x:f>
      </x:c>
      <x:c r="F134" s="71" t="str">
        <x:f>IFERROR(INDEX('学校信息'!$G$4:$G$53,MATCH(B134,'学校信息'!$A$4:$A$53,0)),"")</x:f>
      </x:c>
      <x:c r="G134" s="75"/>
      <x:c r="H134" s="70"/>
      <x:c r="I134" s="70"/>
      <x:c r="J134" s="28"/>
      <x:c r="K134" s="70"/>
      <x:c r="L134" s="70"/>
      <x:c r="M134" s="70"/>
      <x:c r="N134" s="70"/>
      <x:c r="O134" s="70"/>
      <x:c r="P134" s="28"/>
      <x:c r="Q134" s="70"/>
      <x:c r="R134" s="28"/>
      <x:c r="S134" s="28"/>
      <x:c r="T134" s="60" t="str">
        <x:f>IF(COUNTA(A134:D134)+COUNTA(G134:S134)=0,"",IF(OR(A134="",B134="",C134="",D134="",G134="",H134="",J134="",R134=""),"缺少必填项",IF(COUNTIF($A$4:$A$203,A134)&gt;1,"全局队伍ID重复",IF(COUNTIF('学校信息'!$A$4:$A$53,B134)=0,"学校ID不存在",IF(COUNTIFS($B$4:$B$203,B134,$G$4:$G$203,G134,$R$4:$R$203,"启用")&gt;1,"同校Hydro UID重复","通过")))))</x:f>
      </x:c>
    </x:row>
    <x:row r="135" ht="22" customHeight="1">
      <x:c r="A135" s="70"/>
      <x:c r="B135" s="70"/>
      <x:c r="C135" s="70"/>
      <x:c r="D135" s="70"/>
      <x:c r="E135" s="71" t="str">
        <x:f>IFERROR(INDEX('学校信息'!$F$4:$F$53,MATCH(B135,'学校信息'!$A$4:$A$53,0)),"")</x:f>
      </x:c>
      <x:c r="F135" s="71" t="str">
        <x:f>IFERROR(INDEX('学校信息'!$G$4:$G$53,MATCH(B135,'学校信息'!$A$4:$A$53,0)),"")</x:f>
      </x:c>
      <x:c r="G135" s="75"/>
      <x:c r="H135" s="70"/>
      <x:c r="I135" s="70"/>
      <x:c r="J135" s="28"/>
      <x:c r="K135" s="70"/>
      <x:c r="L135" s="70"/>
      <x:c r="M135" s="70"/>
      <x:c r="N135" s="70"/>
      <x:c r="O135" s="70"/>
      <x:c r="P135" s="28"/>
      <x:c r="Q135" s="70"/>
      <x:c r="R135" s="28"/>
      <x:c r="S135" s="28"/>
      <x:c r="T135" s="60" t="str">
        <x:f>IF(COUNTA(A135:D135)+COUNTA(G135:S135)=0,"",IF(OR(A135="",B135="",C135="",D135="",G135="",H135="",J135="",R135=""),"缺少必填项",IF(COUNTIF($A$4:$A$203,A135)&gt;1,"全局队伍ID重复",IF(COUNTIF('学校信息'!$A$4:$A$53,B135)=0,"学校ID不存在",IF(COUNTIFS($B$4:$B$203,B135,$G$4:$G$203,G135,$R$4:$R$203,"启用")&gt;1,"同校Hydro UID重复","通过")))))</x:f>
      </x:c>
    </x:row>
    <x:row r="136" ht="22" customHeight="1">
      <x:c r="A136" s="70"/>
      <x:c r="B136" s="70"/>
      <x:c r="C136" s="70"/>
      <x:c r="D136" s="70"/>
      <x:c r="E136" s="71" t="str">
        <x:f>IFERROR(INDEX('学校信息'!$F$4:$F$53,MATCH(B136,'学校信息'!$A$4:$A$53,0)),"")</x:f>
      </x:c>
      <x:c r="F136" s="71" t="str">
        <x:f>IFERROR(INDEX('学校信息'!$G$4:$G$53,MATCH(B136,'学校信息'!$A$4:$A$53,0)),"")</x:f>
      </x:c>
      <x:c r="G136" s="75"/>
      <x:c r="H136" s="70"/>
      <x:c r="I136" s="70"/>
      <x:c r="J136" s="28"/>
      <x:c r="K136" s="70"/>
      <x:c r="L136" s="70"/>
      <x:c r="M136" s="70"/>
      <x:c r="N136" s="70"/>
      <x:c r="O136" s="70"/>
      <x:c r="P136" s="28"/>
      <x:c r="Q136" s="70"/>
      <x:c r="R136" s="28"/>
      <x:c r="S136" s="28"/>
      <x:c r="T136" s="60" t="str">
        <x:f>IF(COUNTA(A136:D136)+COUNTA(G136:S136)=0,"",IF(OR(A136="",B136="",C136="",D136="",G136="",H136="",J136="",R136=""),"缺少必填项",IF(COUNTIF($A$4:$A$203,A136)&gt;1,"全局队伍ID重复",IF(COUNTIF('学校信息'!$A$4:$A$53,B136)=0,"学校ID不存在",IF(COUNTIFS($B$4:$B$203,B136,$G$4:$G$203,G136,$R$4:$R$203,"启用")&gt;1,"同校Hydro UID重复","通过")))))</x:f>
      </x:c>
    </x:row>
    <x:row r="137" ht="22" customHeight="1">
      <x:c r="A137" s="70"/>
      <x:c r="B137" s="70"/>
      <x:c r="C137" s="70"/>
      <x:c r="D137" s="70"/>
      <x:c r="E137" s="71" t="str">
        <x:f>IFERROR(INDEX('学校信息'!$F$4:$F$53,MATCH(B137,'学校信息'!$A$4:$A$53,0)),"")</x:f>
      </x:c>
      <x:c r="F137" s="71" t="str">
        <x:f>IFERROR(INDEX('学校信息'!$G$4:$G$53,MATCH(B137,'学校信息'!$A$4:$A$53,0)),"")</x:f>
      </x:c>
      <x:c r="G137" s="75"/>
      <x:c r="H137" s="70"/>
      <x:c r="I137" s="70"/>
      <x:c r="J137" s="28"/>
      <x:c r="K137" s="70"/>
      <x:c r="L137" s="70"/>
      <x:c r="M137" s="70"/>
      <x:c r="N137" s="70"/>
      <x:c r="O137" s="70"/>
      <x:c r="P137" s="28"/>
      <x:c r="Q137" s="70"/>
      <x:c r="R137" s="28"/>
      <x:c r="S137" s="28"/>
      <x:c r="T137" s="60" t="str">
        <x:f>IF(COUNTA(A137:D137)+COUNTA(G137:S137)=0,"",IF(OR(A137="",B137="",C137="",D137="",G137="",H137="",J137="",R137=""),"缺少必填项",IF(COUNTIF($A$4:$A$203,A137)&gt;1,"全局队伍ID重复",IF(COUNTIF('学校信息'!$A$4:$A$53,B137)=0,"学校ID不存在",IF(COUNTIFS($B$4:$B$203,B137,$G$4:$G$203,G137,$R$4:$R$203,"启用")&gt;1,"同校Hydro UID重复","通过")))))</x:f>
      </x:c>
    </x:row>
    <x:row r="138" ht="22" customHeight="1">
      <x:c r="A138" s="70"/>
      <x:c r="B138" s="70"/>
      <x:c r="C138" s="70"/>
      <x:c r="D138" s="70"/>
      <x:c r="E138" s="71" t="str">
        <x:f>IFERROR(INDEX('学校信息'!$F$4:$F$53,MATCH(B138,'学校信息'!$A$4:$A$53,0)),"")</x:f>
      </x:c>
      <x:c r="F138" s="71" t="str">
        <x:f>IFERROR(INDEX('学校信息'!$G$4:$G$53,MATCH(B138,'学校信息'!$A$4:$A$53,0)),"")</x:f>
      </x:c>
      <x:c r="G138" s="75"/>
      <x:c r="H138" s="70"/>
      <x:c r="I138" s="70"/>
      <x:c r="J138" s="28"/>
      <x:c r="K138" s="70"/>
      <x:c r="L138" s="70"/>
      <x:c r="M138" s="70"/>
      <x:c r="N138" s="70"/>
      <x:c r="O138" s="70"/>
      <x:c r="P138" s="28"/>
      <x:c r="Q138" s="70"/>
      <x:c r="R138" s="28"/>
      <x:c r="S138" s="28"/>
      <x:c r="T138" s="60" t="str">
        <x:f>IF(COUNTA(A138:D138)+COUNTA(G138:S138)=0,"",IF(OR(A138="",B138="",C138="",D138="",G138="",H138="",J138="",R138=""),"缺少必填项",IF(COUNTIF($A$4:$A$203,A138)&gt;1,"全局队伍ID重复",IF(COUNTIF('学校信息'!$A$4:$A$53,B138)=0,"学校ID不存在",IF(COUNTIFS($B$4:$B$203,B138,$G$4:$G$203,G138,$R$4:$R$203,"启用")&gt;1,"同校Hydro UID重复","通过")))))</x:f>
      </x:c>
    </x:row>
    <x:row r="139" ht="22" customHeight="1">
      <x:c r="A139" s="70"/>
      <x:c r="B139" s="70"/>
      <x:c r="C139" s="70"/>
      <x:c r="D139" s="70"/>
      <x:c r="E139" s="71" t="str">
        <x:f>IFERROR(INDEX('学校信息'!$F$4:$F$53,MATCH(B139,'学校信息'!$A$4:$A$53,0)),"")</x:f>
      </x:c>
      <x:c r="F139" s="71" t="str">
        <x:f>IFERROR(INDEX('学校信息'!$G$4:$G$53,MATCH(B139,'学校信息'!$A$4:$A$53,0)),"")</x:f>
      </x:c>
      <x:c r="G139" s="75"/>
      <x:c r="H139" s="70"/>
      <x:c r="I139" s="70"/>
      <x:c r="J139" s="28"/>
      <x:c r="K139" s="70"/>
      <x:c r="L139" s="70"/>
      <x:c r="M139" s="70"/>
      <x:c r="N139" s="70"/>
      <x:c r="O139" s="70"/>
      <x:c r="P139" s="28"/>
      <x:c r="Q139" s="70"/>
      <x:c r="R139" s="28"/>
      <x:c r="S139" s="28"/>
      <x:c r="T139" s="60" t="str">
        <x:f>IF(COUNTA(A139:D139)+COUNTA(G139:S139)=0,"",IF(OR(A139="",B139="",C139="",D139="",G139="",H139="",J139="",R139=""),"缺少必填项",IF(COUNTIF($A$4:$A$203,A139)&gt;1,"全局队伍ID重复",IF(COUNTIF('学校信息'!$A$4:$A$53,B139)=0,"学校ID不存在",IF(COUNTIFS($B$4:$B$203,B139,$G$4:$G$203,G139,$R$4:$R$203,"启用")&gt;1,"同校Hydro UID重复","通过")))))</x:f>
      </x:c>
    </x:row>
    <x:row r="140" ht="22" customHeight="1">
      <x:c r="A140" s="70"/>
      <x:c r="B140" s="70"/>
      <x:c r="C140" s="70"/>
      <x:c r="D140" s="70"/>
      <x:c r="E140" s="71" t="str">
        <x:f>IFERROR(INDEX('学校信息'!$F$4:$F$53,MATCH(B140,'学校信息'!$A$4:$A$53,0)),"")</x:f>
      </x:c>
      <x:c r="F140" s="71" t="str">
        <x:f>IFERROR(INDEX('学校信息'!$G$4:$G$53,MATCH(B140,'学校信息'!$A$4:$A$53,0)),"")</x:f>
      </x:c>
      <x:c r="G140" s="75"/>
      <x:c r="H140" s="70"/>
      <x:c r="I140" s="70"/>
      <x:c r="J140" s="28"/>
      <x:c r="K140" s="70"/>
      <x:c r="L140" s="70"/>
      <x:c r="M140" s="70"/>
      <x:c r="N140" s="70"/>
      <x:c r="O140" s="70"/>
      <x:c r="P140" s="28"/>
      <x:c r="Q140" s="70"/>
      <x:c r="R140" s="28"/>
      <x:c r="S140" s="28"/>
      <x:c r="T140" s="60" t="str">
        <x:f>IF(COUNTA(A140:D140)+COUNTA(G140:S140)=0,"",IF(OR(A140="",B140="",C140="",D140="",G140="",H140="",J140="",R140=""),"缺少必填项",IF(COUNTIF($A$4:$A$203,A140)&gt;1,"全局队伍ID重复",IF(COUNTIF('学校信息'!$A$4:$A$53,B140)=0,"学校ID不存在",IF(COUNTIFS($B$4:$B$203,B140,$G$4:$G$203,G140,$R$4:$R$203,"启用")&gt;1,"同校Hydro UID重复","通过")))))</x:f>
      </x:c>
    </x:row>
    <x:row r="141" ht="22" customHeight="1">
      <x:c r="A141" s="70"/>
      <x:c r="B141" s="70"/>
      <x:c r="C141" s="70"/>
      <x:c r="D141" s="70"/>
      <x:c r="E141" s="71" t="str">
        <x:f>IFERROR(INDEX('学校信息'!$F$4:$F$53,MATCH(B141,'学校信息'!$A$4:$A$53,0)),"")</x:f>
      </x:c>
      <x:c r="F141" s="71" t="str">
        <x:f>IFERROR(INDEX('学校信息'!$G$4:$G$53,MATCH(B141,'学校信息'!$A$4:$A$53,0)),"")</x:f>
      </x:c>
      <x:c r="G141" s="75"/>
      <x:c r="H141" s="70"/>
      <x:c r="I141" s="70"/>
      <x:c r="J141" s="28"/>
      <x:c r="K141" s="70"/>
      <x:c r="L141" s="70"/>
      <x:c r="M141" s="70"/>
      <x:c r="N141" s="70"/>
      <x:c r="O141" s="70"/>
      <x:c r="P141" s="28"/>
      <x:c r="Q141" s="70"/>
      <x:c r="R141" s="28"/>
      <x:c r="S141" s="28"/>
      <x:c r="T141" s="60" t="str">
        <x:f>IF(COUNTA(A141:D141)+COUNTA(G141:S141)=0,"",IF(OR(A141="",B141="",C141="",D141="",G141="",H141="",J141="",R141=""),"缺少必填项",IF(COUNTIF($A$4:$A$203,A141)&gt;1,"全局队伍ID重复",IF(COUNTIF('学校信息'!$A$4:$A$53,B141)=0,"学校ID不存在",IF(COUNTIFS($B$4:$B$203,B141,$G$4:$G$203,G141,$R$4:$R$203,"启用")&gt;1,"同校Hydro UID重复","通过")))))</x:f>
      </x:c>
    </x:row>
    <x:row r="142" ht="22" customHeight="1">
      <x:c r="A142" s="70"/>
      <x:c r="B142" s="70"/>
      <x:c r="C142" s="70"/>
      <x:c r="D142" s="70"/>
      <x:c r="E142" s="71" t="str">
        <x:f>IFERROR(INDEX('学校信息'!$F$4:$F$53,MATCH(B142,'学校信息'!$A$4:$A$53,0)),"")</x:f>
      </x:c>
      <x:c r="F142" s="71" t="str">
        <x:f>IFERROR(INDEX('学校信息'!$G$4:$G$53,MATCH(B142,'学校信息'!$A$4:$A$53,0)),"")</x:f>
      </x:c>
      <x:c r="G142" s="75"/>
      <x:c r="H142" s="70"/>
      <x:c r="I142" s="70"/>
      <x:c r="J142" s="28"/>
      <x:c r="K142" s="70"/>
      <x:c r="L142" s="70"/>
      <x:c r="M142" s="70"/>
      <x:c r="N142" s="70"/>
      <x:c r="O142" s="70"/>
      <x:c r="P142" s="28"/>
      <x:c r="Q142" s="70"/>
      <x:c r="R142" s="28"/>
      <x:c r="S142" s="28"/>
      <x:c r="T142" s="60" t="str">
        <x:f>IF(COUNTA(A142:D142)+COUNTA(G142:S142)=0,"",IF(OR(A142="",B142="",C142="",D142="",G142="",H142="",J142="",R142=""),"缺少必填项",IF(COUNTIF($A$4:$A$203,A142)&gt;1,"全局队伍ID重复",IF(COUNTIF('学校信息'!$A$4:$A$53,B142)=0,"学校ID不存在",IF(COUNTIFS($B$4:$B$203,B142,$G$4:$G$203,G142,$R$4:$R$203,"启用")&gt;1,"同校Hydro UID重复","通过")))))</x:f>
      </x:c>
    </x:row>
    <x:row r="143" ht="22" customHeight="1">
      <x:c r="A143" s="70"/>
      <x:c r="B143" s="70"/>
      <x:c r="C143" s="70"/>
      <x:c r="D143" s="70"/>
      <x:c r="E143" s="71" t="str">
        <x:f>IFERROR(INDEX('学校信息'!$F$4:$F$53,MATCH(B143,'学校信息'!$A$4:$A$53,0)),"")</x:f>
      </x:c>
      <x:c r="F143" s="71" t="str">
        <x:f>IFERROR(INDEX('学校信息'!$G$4:$G$53,MATCH(B143,'学校信息'!$A$4:$A$53,0)),"")</x:f>
      </x:c>
      <x:c r="G143" s="75"/>
      <x:c r="H143" s="70"/>
      <x:c r="I143" s="70"/>
      <x:c r="J143" s="28"/>
      <x:c r="K143" s="70"/>
      <x:c r="L143" s="70"/>
      <x:c r="M143" s="70"/>
      <x:c r="N143" s="70"/>
      <x:c r="O143" s="70"/>
      <x:c r="P143" s="28"/>
      <x:c r="Q143" s="70"/>
      <x:c r="R143" s="28"/>
      <x:c r="S143" s="28"/>
      <x:c r="T143" s="60" t="str">
        <x:f>IF(COUNTA(A143:D143)+COUNTA(G143:S143)=0,"",IF(OR(A143="",B143="",C143="",D143="",G143="",H143="",J143="",R143=""),"缺少必填项",IF(COUNTIF($A$4:$A$203,A143)&gt;1,"全局队伍ID重复",IF(COUNTIF('学校信息'!$A$4:$A$53,B143)=0,"学校ID不存在",IF(COUNTIFS($B$4:$B$203,B143,$G$4:$G$203,G143,$R$4:$R$203,"启用")&gt;1,"同校Hydro UID重复","通过")))))</x:f>
      </x:c>
    </x:row>
    <x:row r="144" ht="22" customHeight="1">
      <x:c r="A144" s="70"/>
      <x:c r="B144" s="70"/>
      <x:c r="C144" s="70"/>
      <x:c r="D144" s="70"/>
      <x:c r="E144" s="71" t="str">
        <x:f>IFERROR(INDEX('学校信息'!$F$4:$F$53,MATCH(B144,'学校信息'!$A$4:$A$53,0)),"")</x:f>
      </x:c>
      <x:c r="F144" s="71" t="str">
        <x:f>IFERROR(INDEX('学校信息'!$G$4:$G$53,MATCH(B144,'学校信息'!$A$4:$A$53,0)),"")</x:f>
      </x:c>
      <x:c r="G144" s="75"/>
      <x:c r="H144" s="70"/>
      <x:c r="I144" s="70"/>
      <x:c r="J144" s="28"/>
      <x:c r="K144" s="70"/>
      <x:c r="L144" s="70"/>
      <x:c r="M144" s="70"/>
      <x:c r="N144" s="70"/>
      <x:c r="O144" s="70"/>
      <x:c r="P144" s="28"/>
      <x:c r="Q144" s="70"/>
      <x:c r="R144" s="28"/>
      <x:c r="S144" s="28"/>
      <x:c r="T144" s="60" t="str">
        <x:f>IF(COUNTA(A144:D144)+COUNTA(G144:S144)=0,"",IF(OR(A144="",B144="",C144="",D144="",G144="",H144="",J144="",R144=""),"缺少必填项",IF(COUNTIF($A$4:$A$203,A144)&gt;1,"全局队伍ID重复",IF(COUNTIF('学校信息'!$A$4:$A$53,B144)=0,"学校ID不存在",IF(COUNTIFS($B$4:$B$203,B144,$G$4:$G$203,G144,$R$4:$R$203,"启用")&gt;1,"同校Hydro UID重复","通过")))))</x:f>
      </x:c>
    </x:row>
    <x:row r="145" ht="22" customHeight="1">
      <x:c r="A145" s="70"/>
      <x:c r="B145" s="70"/>
      <x:c r="C145" s="70"/>
      <x:c r="D145" s="70"/>
      <x:c r="E145" s="71" t="str">
        <x:f>IFERROR(INDEX('学校信息'!$F$4:$F$53,MATCH(B145,'学校信息'!$A$4:$A$53,0)),"")</x:f>
      </x:c>
      <x:c r="F145" s="71" t="str">
        <x:f>IFERROR(INDEX('学校信息'!$G$4:$G$53,MATCH(B145,'学校信息'!$A$4:$A$53,0)),"")</x:f>
      </x:c>
      <x:c r="G145" s="75"/>
      <x:c r="H145" s="70"/>
      <x:c r="I145" s="70"/>
      <x:c r="J145" s="28"/>
      <x:c r="K145" s="70"/>
      <x:c r="L145" s="70"/>
      <x:c r="M145" s="70"/>
      <x:c r="N145" s="70"/>
      <x:c r="O145" s="70"/>
      <x:c r="P145" s="28"/>
      <x:c r="Q145" s="70"/>
      <x:c r="R145" s="28"/>
      <x:c r="S145" s="28"/>
      <x:c r="T145" s="60" t="str">
        <x:f>IF(COUNTA(A145:D145)+COUNTA(G145:S145)=0,"",IF(OR(A145="",B145="",C145="",D145="",G145="",H145="",J145="",R145=""),"缺少必填项",IF(COUNTIF($A$4:$A$203,A145)&gt;1,"全局队伍ID重复",IF(COUNTIF('学校信息'!$A$4:$A$53,B145)=0,"学校ID不存在",IF(COUNTIFS($B$4:$B$203,B145,$G$4:$G$203,G145,$R$4:$R$203,"启用")&gt;1,"同校Hydro UID重复","通过")))))</x:f>
      </x:c>
    </x:row>
    <x:row r="146" ht="22" customHeight="1">
      <x:c r="A146" s="70"/>
      <x:c r="B146" s="70"/>
      <x:c r="C146" s="70"/>
      <x:c r="D146" s="70"/>
      <x:c r="E146" s="71" t="str">
        <x:f>IFERROR(INDEX('学校信息'!$F$4:$F$53,MATCH(B146,'学校信息'!$A$4:$A$53,0)),"")</x:f>
      </x:c>
      <x:c r="F146" s="71" t="str">
        <x:f>IFERROR(INDEX('学校信息'!$G$4:$G$53,MATCH(B146,'学校信息'!$A$4:$A$53,0)),"")</x:f>
      </x:c>
      <x:c r="G146" s="75"/>
      <x:c r="H146" s="70"/>
      <x:c r="I146" s="70"/>
      <x:c r="J146" s="28"/>
      <x:c r="K146" s="70"/>
      <x:c r="L146" s="70"/>
      <x:c r="M146" s="70"/>
      <x:c r="N146" s="70"/>
      <x:c r="O146" s="70"/>
      <x:c r="P146" s="28"/>
      <x:c r="Q146" s="70"/>
      <x:c r="R146" s="28"/>
      <x:c r="S146" s="28"/>
      <x:c r="T146" s="60" t="str">
        <x:f>IF(COUNTA(A146:D146)+COUNTA(G146:S146)=0,"",IF(OR(A146="",B146="",C146="",D146="",G146="",H146="",J146="",R146=""),"缺少必填项",IF(COUNTIF($A$4:$A$203,A146)&gt;1,"全局队伍ID重复",IF(COUNTIF('学校信息'!$A$4:$A$53,B146)=0,"学校ID不存在",IF(COUNTIFS($B$4:$B$203,B146,$G$4:$G$203,G146,$R$4:$R$203,"启用")&gt;1,"同校Hydro UID重复","通过")))))</x:f>
      </x:c>
    </x:row>
    <x:row r="147" ht="22" customHeight="1">
      <x:c r="A147" s="70"/>
      <x:c r="B147" s="70"/>
      <x:c r="C147" s="70"/>
      <x:c r="D147" s="70"/>
      <x:c r="E147" s="71" t="str">
        <x:f>IFERROR(INDEX('学校信息'!$F$4:$F$53,MATCH(B147,'学校信息'!$A$4:$A$53,0)),"")</x:f>
      </x:c>
      <x:c r="F147" s="71" t="str">
        <x:f>IFERROR(INDEX('学校信息'!$G$4:$G$53,MATCH(B147,'学校信息'!$A$4:$A$53,0)),"")</x:f>
      </x:c>
      <x:c r="G147" s="75"/>
      <x:c r="H147" s="70"/>
      <x:c r="I147" s="70"/>
      <x:c r="J147" s="28"/>
      <x:c r="K147" s="70"/>
      <x:c r="L147" s="70"/>
      <x:c r="M147" s="70"/>
      <x:c r="N147" s="70"/>
      <x:c r="O147" s="70"/>
      <x:c r="P147" s="28"/>
      <x:c r="Q147" s="70"/>
      <x:c r="R147" s="28"/>
      <x:c r="S147" s="28"/>
      <x:c r="T147" s="60" t="str">
        <x:f>IF(COUNTA(A147:D147)+COUNTA(G147:S147)=0,"",IF(OR(A147="",B147="",C147="",D147="",G147="",H147="",J147="",R147=""),"缺少必填项",IF(COUNTIF($A$4:$A$203,A147)&gt;1,"全局队伍ID重复",IF(COUNTIF('学校信息'!$A$4:$A$53,B147)=0,"学校ID不存在",IF(COUNTIFS($B$4:$B$203,B147,$G$4:$G$203,G147,$R$4:$R$203,"启用")&gt;1,"同校Hydro UID重复","通过")))))</x:f>
      </x:c>
    </x:row>
    <x:row r="148" ht="22" customHeight="1">
      <x:c r="A148" s="70"/>
      <x:c r="B148" s="70"/>
      <x:c r="C148" s="70"/>
      <x:c r="D148" s="70"/>
      <x:c r="E148" s="71" t="str">
        <x:f>IFERROR(INDEX('学校信息'!$F$4:$F$53,MATCH(B148,'学校信息'!$A$4:$A$53,0)),"")</x:f>
      </x:c>
      <x:c r="F148" s="71" t="str">
        <x:f>IFERROR(INDEX('学校信息'!$G$4:$G$53,MATCH(B148,'学校信息'!$A$4:$A$53,0)),"")</x:f>
      </x:c>
      <x:c r="G148" s="75"/>
      <x:c r="H148" s="70"/>
      <x:c r="I148" s="70"/>
      <x:c r="J148" s="28"/>
      <x:c r="K148" s="70"/>
      <x:c r="L148" s="70"/>
      <x:c r="M148" s="70"/>
      <x:c r="N148" s="70"/>
      <x:c r="O148" s="70"/>
      <x:c r="P148" s="28"/>
      <x:c r="Q148" s="70"/>
      <x:c r="R148" s="28"/>
      <x:c r="S148" s="28"/>
      <x:c r="T148" s="60" t="str">
        <x:f>IF(COUNTA(A148:D148)+COUNTA(G148:S148)=0,"",IF(OR(A148="",B148="",C148="",D148="",G148="",H148="",J148="",R148=""),"缺少必填项",IF(COUNTIF($A$4:$A$203,A148)&gt;1,"全局队伍ID重复",IF(COUNTIF('学校信息'!$A$4:$A$53,B148)=0,"学校ID不存在",IF(COUNTIFS($B$4:$B$203,B148,$G$4:$G$203,G148,$R$4:$R$203,"启用")&gt;1,"同校Hydro UID重复","通过")))))</x:f>
      </x:c>
    </x:row>
    <x:row r="149" ht="22" customHeight="1">
      <x:c r="A149" s="70"/>
      <x:c r="B149" s="70"/>
      <x:c r="C149" s="70"/>
      <x:c r="D149" s="70"/>
      <x:c r="E149" s="71" t="str">
        <x:f>IFERROR(INDEX('学校信息'!$F$4:$F$53,MATCH(B149,'学校信息'!$A$4:$A$53,0)),"")</x:f>
      </x:c>
      <x:c r="F149" s="71" t="str">
        <x:f>IFERROR(INDEX('学校信息'!$G$4:$G$53,MATCH(B149,'学校信息'!$A$4:$A$53,0)),"")</x:f>
      </x:c>
      <x:c r="G149" s="75"/>
      <x:c r="H149" s="70"/>
      <x:c r="I149" s="70"/>
      <x:c r="J149" s="28"/>
      <x:c r="K149" s="70"/>
      <x:c r="L149" s="70"/>
      <x:c r="M149" s="70"/>
      <x:c r="N149" s="70"/>
      <x:c r="O149" s="70"/>
      <x:c r="P149" s="28"/>
      <x:c r="Q149" s="70"/>
      <x:c r="R149" s="28"/>
      <x:c r="S149" s="28"/>
      <x:c r="T149" s="60" t="str">
        <x:f>IF(COUNTA(A149:D149)+COUNTA(G149:S149)=0,"",IF(OR(A149="",B149="",C149="",D149="",G149="",H149="",J149="",R149=""),"缺少必填项",IF(COUNTIF($A$4:$A$203,A149)&gt;1,"全局队伍ID重复",IF(COUNTIF('学校信息'!$A$4:$A$53,B149)=0,"学校ID不存在",IF(COUNTIFS($B$4:$B$203,B149,$G$4:$G$203,G149,$R$4:$R$203,"启用")&gt;1,"同校Hydro UID重复","通过")))))</x:f>
      </x:c>
    </x:row>
    <x:row r="150" ht="22" customHeight="1">
      <x:c r="A150" s="70"/>
      <x:c r="B150" s="70"/>
      <x:c r="C150" s="70"/>
      <x:c r="D150" s="70"/>
      <x:c r="E150" s="71" t="str">
        <x:f>IFERROR(INDEX('学校信息'!$F$4:$F$53,MATCH(B150,'学校信息'!$A$4:$A$53,0)),"")</x:f>
      </x:c>
      <x:c r="F150" s="71" t="str">
        <x:f>IFERROR(INDEX('学校信息'!$G$4:$G$53,MATCH(B150,'学校信息'!$A$4:$A$53,0)),"")</x:f>
      </x:c>
      <x:c r="G150" s="75"/>
      <x:c r="H150" s="70"/>
      <x:c r="I150" s="70"/>
      <x:c r="J150" s="28"/>
      <x:c r="K150" s="70"/>
      <x:c r="L150" s="70"/>
      <x:c r="M150" s="70"/>
      <x:c r="N150" s="70"/>
      <x:c r="O150" s="70"/>
      <x:c r="P150" s="28"/>
      <x:c r="Q150" s="70"/>
      <x:c r="R150" s="28"/>
      <x:c r="S150" s="28"/>
      <x:c r="T150" s="60" t="str">
        <x:f>IF(COUNTA(A150:D150)+COUNTA(G150:S150)=0,"",IF(OR(A150="",B150="",C150="",D150="",G150="",H150="",J150="",R150=""),"缺少必填项",IF(COUNTIF($A$4:$A$203,A150)&gt;1,"全局队伍ID重复",IF(COUNTIF('学校信息'!$A$4:$A$53,B150)=0,"学校ID不存在",IF(COUNTIFS($B$4:$B$203,B150,$G$4:$G$203,G150,$R$4:$R$203,"启用")&gt;1,"同校Hydro UID重复","通过")))))</x:f>
      </x:c>
    </x:row>
    <x:row r="151" ht="22" customHeight="1">
      <x:c r="A151" s="70"/>
      <x:c r="B151" s="70"/>
      <x:c r="C151" s="70"/>
      <x:c r="D151" s="70"/>
      <x:c r="E151" s="71" t="str">
        <x:f>IFERROR(INDEX('学校信息'!$F$4:$F$53,MATCH(B151,'学校信息'!$A$4:$A$53,0)),"")</x:f>
      </x:c>
      <x:c r="F151" s="71" t="str">
        <x:f>IFERROR(INDEX('学校信息'!$G$4:$G$53,MATCH(B151,'学校信息'!$A$4:$A$53,0)),"")</x:f>
      </x:c>
      <x:c r="G151" s="75"/>
      <x:c r="H151" s="70"/>
      <x:c r="I151" s="70"/>
      <x:c r="J151" s="28"/>
      <x:c r="K151" s="70"/>
      <x:c r="L151" s="70"/>
      <x:c r="M151" s="70"/>
      <x:c r="N151" s="70"/>
      <x:c r="O151" s="70"/>
      <x:c r="P151" s="28"/>
      <x:c r="Q151" s="70"/>
      <x:c r="R151" s="28"/>
      <x:c r="S151" s="28"/>
      <x:c r="T151" s="60" t="str">
        <x:f>IF(COUNTA(A151:D151)+COUNTA(G151:S151)=0,"",IF(OR(A151="",B151="",C151="",D151="",G151="",H151="",J151="",R151=""),"缺少必填项",IF(COUNTIF($A$4:$A$203,A151)&gt;1,"全局队伍ID重复",IF(COUNTIF('学校信息'!$A$4:$A$53,B151)=0,"学校ID不存在",IF(COUNTIFS($B$4:$B$203,B151,$G$4:$G$203,G151,$R$4:$R$203,"启用")&gt;1,"同校Hydro UID重复","通过")))))</x:f>
      </x:c>
    </x:row>
    <x:row r="152" ht="22" customHeight="1">
      <x:c r="A152" s="70"/>
      <x:c r="B152" s="70"/>
      <x:c r="C152" s="70"/>
      <x:c r="D152" s="70"/>
      <x:c r="E152" s="71" t="str">
        <x:f>IFERROR(INDEX('学校信息'!$F$4:$F$53,MATCH(B152,'学校信息'!$A$4:$A$53,0)),"")</x:f>
      </x:c>
      <x:c r="F152" s="71" t="str">
        <x:f>IFERROR(INDEX('学校信息'!$G$4:$G$53,MATCH(B152,'学校信息'!$A$4:$A$53,0)),"")</x:f>
      </x:c>
      <x:c r="G152" s="75"/>
      <x:c r="H152" s="70"/>
      <x:c r="I152" s="70"/>
      <x:c r="J152" s="28"/>
      <x:c r="K152" s="70"/>
      <x:c r="L152" s="70"/>
      <x:c r="M152" s="70"/>
      <x:c r="N152" s="70"/>
      <x:c r="O152" s="70"/>
      <x:c r="P152" s="28"/>
      <x:c r="Q152" s="70"/>
      <x:c r="R152" s="28"/>
      <x:c r="S152" s="28"/>
      <x:c r="T152" s="60" t="str">
        <x:f>IF(COUNTA(A152:D152)+COUNTA(G152:S152)=0,"",IF(OR(A152="",B152="",C152="",D152="",G152="",H152="",J152="",R152=""),"缺少必填项",IF(COUNTIF($A$4:$A$203,A152)&gt;1,"全局队伍ID重复",IF(COUNTIF('学校信息'!$A$4:$A$53,B152)=0,"学校ID不存在",IF(COUNTIFS($B$4:$B$203,B152,$G$4:$G$203,G152,$R$4:$R$203,"启用")&gt;1,"同校Hydro UID重复","通过")))))</x:f>
      </x:c>
    </x:row>
    <x:row r="153" ht="22" customHeight="1">
      <x:c r="A153" s="70"/>
      <x:c r="B153" s="70"/>
      <x:c r="C153" s="70"/>
      <x:c r="D153" s="70"/>
      <x:c r="E153" s="71" t="str">
        <x:f>IFERROR(INDEX('学校信息'!$F$4:$F$53,MATCH(B153,'学校信息'!$A$4:$A$53,0)),"")</x:f>
      </x:c>
      <x:c r="F153" s="71" t="str">
        <x:f>IFERROR(INDEX('学校信息'!$G$4:$G$53,MATCH(B153,'学校信息'!$A$4:$A$53,0)),"")</x:f>
      </x:c>
      <x:c r="G153" s="75"/>
      <x:c r="H153" s="70"/>
      <x:c r="I153" s="70"/>
      <x:c r="J153" s="28"/>
      <x:c r="K153" s="70"/>
      <x:c r="L153" s="70"/>
      <x:c r="M153" s="70"/>
      <x:c r="N153" s="70"/>
      <x:c r="O153" s="70"/>
      <x:c r="P153" s="28"/>
      <x:c r="Q153" s="70"/>
      <x:c r="R153" s="28"/>
      <x:c r="S153" s="28"/>
      <x:c r="T153" s="60" t="str">
        <x:f>IF(COUNTA(A153:D153)+COUNTA(G153:S153)=0,"",IF(OR(A153="",B153="",C153="",D153="",G153="",H153="",J153="",R153=""),"缺少必填项",IF(COUNTIF($A$4:$A$203,A153)&gt;1,"全局队伍ID重复",IF(COUNTIF('学校信息'!$A$4:$A$53,B153)=0,"学校ID不存在",IF(COUNTIFS($B$4:$B$203,B153,$G$4:$G$203,G153,$R$4:$R$203,"启用")&gt;1,"同校Hydro UID重复","通过")))))</x:f>
      </x:c>
    </x:row>
    <x:row r="154" ht="22" customHeight="1">
      <x:c r="A154" s="70"/>
      <x:c r="B154" s="70"/>
      <x:c r="C154" s="70"/>
      <x:c r="D154" s="70"/>
      <x:c r="E154" s="71" t="str">
        <x:f>IFERROR(INDEX('学校信息'!$F$4:$F$53,MATCH(B154,'学校信息'!$A$4:$A$53,0)),"")</x:f>
      </x:c>
      <x:c r="F154" s="71" t="str">
        <x:f>IFERROR(INDEX('学校信息'!$G$4:$G$53,MATCH(B154,'学校信息'!$A$4:$A$53,0)),"")</x:f>
      </x:c>
      <x:c r="G154" s="75"/>
      <x:c r="H154" s="70"/>
      <x:c r="I154" s="70"/>
      <x:c r="J154" s="28"/>
      <x:c r="K154" s="70"/>
      <x:c r="L154" s="70"/>
      <x:c r="M154" s="70"/>
      <x:c r="N154" s="70"/>
      <x:c r="O154" s="70"/>
      <x:c r="P154" s="28"/>
      <x:c r="Q154" s="70"/>
      <x:c r="R154" s="28"/>
      <x:c r="S154" s="28"/>
      <x:c r="T154" s="60" t="str">
        <x:f>IF(COUNTA(A154:D154)+COUNTA(G154:S154)=0,"",IF(OR(A154="",B154="",C154="",D154="",G154="",H154="",J154="",R154=""),"缺少必填项",IF(COUNTIF($A$4:$A$203,A154)&gt;1,"全局队伍ID重复",IF(COUNTIF('学校信息'!$A$4:$A$53,B154)=0,"学校ID不存在",IF(COUNTIFS($B$4:$B$203,B154,$G$4:$G$203,G154,$R$4:$R$203,"启用")&gt;1,"同校Hydro UID重复","通过")))))</x:f>
      </x:c>
    </x:row>
    <x:row r="155" ht="22" customHeight="1">
      <x:c r="A155" s="70"/>
      <x:c r="B155" s="70"/>
      <x:c r="C155" s="70"/>
      <x:c r="D155" s="70"/>
      <x:c r="E155" s="71" t="str">
        <x:f>IFERROR(INDEX('学校信息'!$F$4:$F$53,MATCH(B155,'学校信息'!$A$4:$A$53,0)),"")</x:f>
      </x:c>
      <x:c r="F155" s="71" t="str">
        <x:f>IFERROR(INDEX('学校信息'!$G$4:$G$53,MATCH(B155,'学校信息'!$A$4:$A$53,0)),"")</x:f>
      </x:c>
      <x:c r="G155" s="75"/>
      <x:c r="H155" s="70"/>
      <x:c r="I155" s="70"/>
      <x:c r="J155" s="28"/>
      <x:c r="K155" s="70"/>
      <x:c r="L155" s="70"/>
      <x:c r="M155" s="70"/>
      <x:c r="N155" s="70"/>
      <x:c r="O155" s="70"/>
      <x:c r="P155" s="28"/>
      <x:c r="Q155" s="70"/>
      <x:c r="R155" s="28"/>
      <x:c r="S155" s="28"/>
      <x:c r="T155" s="60" t="str">
        <x:f>IF(COUNTA(A155:D155)+COUNTA(G155:S155)=0,"",IF(OR(A155="",B155="",C155="",D155="",G155="",H155="",J155="",R155=""),"缺少必填项",IF(COUNTIF($A$4:$A$203,A155)&gt;1,"全局队伍ID重复",IF(COUNTIF('学校信息'!$A$4:$A$53,B155)=0,"学校ID不存在",IF(COUNTIFS($B$4:$B$203,B155,$G$4:$G$203,G155,$R$4:$R$203,"启用")&gt;1,"同校Hydro UID重复","通过")))))</x:f>
      </x:c>
    </x:row>
    <x:row r="156" ht="22" customHeight="1">
      <x:c r="A156" s="70"/>
      <x:c r="B156" s="70"/>
      <x:c r="C156" s="70"/>
      <x:c r="D156" s="70"/>
      <x:c r="E156" s="71" t="str">
        <x:f>IFERROR(INDEX('学校信息'!$F$4:$F$53,MATCH(B156,'学校信息'!$A$4:$A$53,0)),"")</x:f>
      </x:c>
      <x:c r="F156" s="71" t="str">
        <x:f>IFERROR(INDEX('学校信息'!$G$4:$G$53,MATCH(B156,'学校信息'!$A$4:$A$53,0)),"")</x:f>
      </x:c>
      <x:c r="G156" s="75"/>
      <x:c r="H156" s="70"/>
      <x:c r="I156" s="70"/>
      <x:c r="J156" s="28"/>
      <x:c r="K156" s="70"/>
      <x:c r="L156" s="70"/>
      <x:c r="M156" s="70"/>
      <x:c r="N156" s="70"/>
      <x:c r="O156" s="70"/>
      <x:c r="P156" s="28"/>
      <x:c r="Q156" s="70"/>
      <x:c r="R156" s="28"/>
      <x:c r="S156" s="28"/>
      <x:c r="T156" s="60" t="str">
        <x:f>IF(COUNTA(A156:D156)+COUNTA(G156:S156)=0,"",IF(OR(A156="",B156="",C156="",D156="",G156="",H156="",J156="",R156=""),"缺少必填项",IF(COUNTIF($A$4:$A$203,A156)&gt;1,"全局队伍ID重复",IF(COUNTIF('学校信息'!$A$4:$A$53,B156)=0,"学校ID不存在",IF(COUNTIFS($B$4:$B$203,B156,$G$4:$G$203,G156,$R$4:$R$203,"启用")&gt;1,"同校Hydro UID重复","通过")))))</x:f>
      </x:c>
    </x:row>
    <x:row r="157" ht="22" customHeight="1">
      <x:c r="A157" s="70"/>
      <x:c r="B157" s="70"/>
      <x:c r="C157" s="70"/>
      <x:c r="D157" s="70"/>
      <x:c r="E157" s="71" t="str">
        <x:f>IFERROR(INDEX('学校信息'!$F$4:$F$53,MATCH(B157,'学校信息'!$A$4:$A$53,0)),"")</x:f>
      </x:c>
      <x:c r="F157" s="71" t="str">
        <x:f>IFERROR(INDEX('学校信息'!$G$4:$G$53,MATCH(B157,'学校信息'!$A$4:$A$53,0)),"")</x:f>
      </x:c>
      <x:c r="G157" s="75"/>
      <x:c r="H157" s="70"/>
      <x:c r="I157" s="70"/>
      <x:c r="J157" s="28"/>
      <x:c r="K157" s="70"/>
      <x:c r="L157" s="70"/>
      <x:c r="M157" s="70"/>
      <x:c r="N157" s="70"/>
      <x:c r="O157" s="70"/>
      <x:c r="P157" s="28"/>
      <x:c r="Q157" s="70"/>
      <x:c r="R157" s="28"/>
      <x:c r="S157" s="28"/>
      <x:c r="T157" s="60" t="str">
        <x:f>IF(COUNTA(A157:D157)+COUNTA(G157:S157)=0,"",IF(OR(A157="",B157="",C157="",D157="",G157="",H157="",J157="",R157=""),"缺少必填项",IF(COUNTIF($A$4:$A$203,A157)&gt;1,"全局队伍ID重复",IF(COUNTIF('学校信息'!$A$4:$A$53,B157)=0,"学校ID不存在",IF(COUNTIFS($B$4:$B$203,B157,$G$4:$G$203,G157,$R$4:$R$203,"启用")&gt;1,"同校Hydro UID重复","通过")))))</x:f>
      </x:c>
    </x:row>
    <x:row r="158" ht="22" customHeight="1">
      <x:c r="A158" s="70"/>
      <x:c r="B158" s="70"/>
      <x:c r="C158" s="70"/>
      <x:c r="D158" s="70"/>
      <x:c r="E158" s="71" t="str">
        <x:f>IFERROR(INDEX('学校信息'!$F$4:$F$53,MATCH(B158,'学校信息'!$A$4:$A$53,0)),"")</x:f>
      </x:c>
      <x:c r="F158" s="71" t="str">
        <x:f>IFERROR(INDEX('学校信息'!$G$4:$G$53,MATCH(B158,'学校信息'!$A$4:$A$53,0)),"")</x:f>
      </x:c>
      <x:c r="G158" s="75"/>
      <x:c r="H158" s="70"/>
      <x:c r="I158" s="70"/>
      <x:c r="J158" s="28"/>
      <x:c r="K158" s="70"/>
      <x:c r="L158" s="70"/>
      <x:c r="M158" s="70"/>
      <x:c r="N158" s="70"/>
      <x:c r="O158" s="70"/>
      <x:c r="P158" s="28"/>
      <x:c r="Q158" s="70"/>
      <x:c r="R158" s="28"/>
      <x:c r="S158" s="28"/>
      <x:c r="T158" s="60" t="str">
        <x:f>IF(COUNTA(A158:D158)+COUNTA(G158:S158)=0,"",IF(OR(A158="",B158="",C158="",D158="",G158="",H158="",J158="",R158=""),"缺少必填项",IF(COUNTIF($A$4:$A$203,A158)&gt;1,"全局队伍ID重复",IF(COUNTIF('学校信息'!$A$4:$A$53,B158)=0,"学校ID不存在",IF(COUNTIFS($B$4:$B$203,B158,$G$4:$G$203,G158,$R$4:$R$203,"启用")&gt;1,"同校Hydro UID重复","通过")))))</x:f>
      </x:c>
    </x:row>
    <x:row r="159" ht="22" customHeight="1">
      <x:c r="A159" s="70"/>
      <x:c r="B159" s="70"/>
      <x:c r="C159" s="70"/>
      <x:c r="D159" s="70"/>
      <x:c r="E159" s="71" t="str">
        <x:f>IFERROR(INDEX('学校信息'!$F$4:$F$53,MATCH(B159,'学校信息'!$A$4:$A$53,0)),"")</x:f>
      </x:c>
      <x:c r="F159" s="71" t="str">
        <x:f>IFERROR(INDEX('学校信息'!$G$4:$G$53,MATCH(B159,'学校信息'!$A$4:$A$53,0)),"")</x:f>
      </x:c>
      <x:c r="G159" s="75"/>
      <x:c r="H159" s="70"/>
      <x:c r="I159" s="70"/>
      <x:c r="J159" s="28"/>
      <x:c r="K159" s="70"/>
      <x:c r="L159" s="70"/>
      <x:c r="M159" s="70"/>
      <x:c r="N159" s="70"/>
      <x:c r="O159" s="70"/>
      <x:c r="P159" s="28"/>
      <x:c r="Q159" s="70"/>
      <x:c r="R159" s="28"/>
      <x:c r="S159" s="28"/>
      <x:c r="T159" s="60" t="str">
        <x:f>IF(COUNTA(A159:D159)+COUNTA(G159:S159)=0,"",IF(OR(A159="",B159="",C159="",D159="",G159="",H159="",J159="",R159=""),"缺少必填项",IF(COUNTIF($A$4:$A$203,A159)&gt;1,"全局队伍ID重复",IF(COUNTIF('学校信息'!$A$4:$A$53,B159)=0,"学校ID不存在",IF(COUNTIFS($B$4:$B$203,B159,$G$4:$G$203,G159,$R$4:$R$203,"启用")&gt;1,"同校Hydro UID重复","通过")))))</x:f>
      </x:c>
    </x:row>
    <x:row r="160" ht="22" customHeight="1">
      <x:c r="A160" s="70"/>
      <x:c r="B160" s="70"/>
      <x:c r="C160" s="70"/>
      <x:c r="D160" s="70"/>
      <x:c r="E160" s="71" t="str">
        <x:f>IFERROR(INDEX('学校信息'!$F$4:$F$53,MATCH(B160,'学校信息'!$A$4:$A$53,0)),"")</x:f>
      </x:c>
      <x:c r="F160" s="71" t="str">
        <x:f>IFERROR(INDEX('学校信息'!$G$4:$G$53,MATCH(B160,'学校信息'!$A$4:$A$53,0)),"")</x:f>
      </x:c>
      <x:c r="G160" s="75"/>
      <x:c r="H160" s="70"/>
      <x:c r="I160" s="70"/>
      <x:c r="J160" s="28"/>
      <x:c r="K160" s="70"/>
      <x:c r="L160" s="70"/>
      <x:c r="M160" s="70"/>
      <x:c r="N160" s="70"/>
      <x:c r="O160" s="70"/>
      <x:c r="P160" s="28"/>
      <x:c r="Q160" s="70"/>
      <x:c r="R160" s="28"/>
      <x:c r="S160" s="28"/>
      <x:c r="T160" s="60" t="str">
        <x:f>IF(COUNTA(A160:D160)+COUNTA(G160:S160)=0,"",IF(OR(A160="",B160="",C160="",D160="",G160="",H160="",J160="",R160=""),"缺少必填项",IF(COUNTIF($A$4:$A$203,A160)&gt;1,"全局队伍ID重复",IF(COUNTIF('学校信息'!$A$4:$A$53,B160)=0,"学校ID不存在",IF(COUNTIFS($B$4:$B$203,B160,$G$4:$G$203,G160,$R$4:$R$203,"启用")&gt;1,"同校Hydro UID重复","通过")))))</x:f>
      </x:c>
    </x:row>
    <x:row r="161" ht="22" customHeight="1">
      <x:c r="A161" s="70"/>
      <x:c r="B161" s="70"/>
      <x:c r="C161" s="70"/>
      <x:c r="D161" s="70"/>
      <x:c r="E161" s="71" t="str">
        <x:f>IFERROR(INDEX('学校信息'!$F$4:$F$53,MATCH(B161,'学校信息'!$A$4:$A$53,0)),"")</x:f>
      </x:c>
      <x:c r="F161" s="71" t="str">
        <x:f>IFERROR(INDEX('学校信息'!$G$4:$G$53,MATCH(B161,'学校信息'!$A$4:$A$53,0)),"")</x:f>
      </x:c>
      <x:c r="G161" s="75"/>
      <x:c r="H161" s="70"/>
      <x:c r="I161" s="70"/>
      <x:c r="J161" s="28"/>
      <x:c r="K161" s="70"/>
      <x:c r="L161" s="70"/>
      <x:c r="M161" s="70"/>
      <x:c r="N161" s="70"/>
      <x:c r="O161" s="70"/>
      <x:c r="P161" s="28"/>
      <x:c r="Q161" s="70"/>
      <x:c r="R161" s="28"/>
      <x:c r="S161" s="28"/>
      <x:c r="T161" s="60" t="str">
        <x:f>IF(COUNTA(A161:D161)+COUNTA(G161:S161)=0,"",IF(OR(A161="",B161="",C161="",D161="",G161="",H161="",J161="",R161=""),"缺少必填项",IF(COUNTIF($A$4:$A$203,A161)&gt;1,"全局队伍ID重复",IF(COUNTIF('学校信息'!$A$4:$A$53,B161)=0,"学校ID不存在",IF(COUNTIFS($B$4:$B$203,B161,$G$4:$G$203,G161,$R$4:$R$203,"启用")&gt;1,"同校Hydro UID重复","通过")))))</x:f>
      </x:c>
    </x:row>
    <x:row r="162" ht="22" customHeight="1">
      <x:c r="A162" s="70"/>
      <x:c r="B162" s="70"/>
      <x:c r="C162" s="70"/>
      <x:c r="D162" s="70"/>
      <x:c r="E162" s="71" t="str">
        <x:f>IFERROR(INDEX('学校信息'!$F$4:$F$53,MATCH(B162,'学校信息'!$A$4:$A$53,0)),"")</x:f>
      </x:c>
      <x:c r="F162" s="71" t="str">
        <x:f>IFERROR(INDEX('学校信息'!$G$4:$G$53,MATCH(B162,'学校信息'!$A$4:$A$53,0)),"")</x:f>
      </x:c>
      <x:c r="G162" s="75"/>
      <x:c r="H162" s="70"/>
      <x:c r="I162" s="70"/>
      <x:c r="J162" s="28"/>
      <x:c r="K162" s="70"/>
      <x:c r="L162" s="70"/>
      <x:c r="M162" s="70"/>
      <x:c r="N162" s="70"/>
      <x:c r="O162" s="70"/>
      <x:c r="P162" s="28"/>
      <x:c r="Q162" s="70"/>
      <x:c r="R162" s="28"/>
      <x:c r="S162" s="28"/>
      <x:c r="T162" s="60" t="str">
        <x:f>IF(COUNTA(A162:D162)+COUNTA(G162:S162)=0,"",IF(OR(A162="",B162="",C162="",D162="",G162="",H162="",J162="",R162=""),"缺少必填项",IF(COUNTIF($A$4:$A$203,A162)&gt;1,"全局队伍ID重复",IF(COUNTIF('学校信息'!$A$4:$A$53,B162)=0,"学校ID不存在",IF(COUNTIFS($B$4:$B$203,B162,$G$4:$G$203,G162,$R$4:$R$203,"启用")&gt;1,"同校Hydro UID重复","通过")))))</x:f>
      </x:c>
    </x:row>
    <x:row r="163" ht="22" customHeight="1">
      <x:c r="A163" s="70"/>
      <x:c r="B163" s="70"/>
      <x:c r="C163" s="70"/>
      <x:c r="D163" s="70"/>
      <x:c r="E163" s="71" t="str">
        <x:f>IFERROR(INDEX('学校信息'!$F$4:$F$53,MATCH(B163,'学校信息'!$A$4:$A$53,0)),"")</x:f>
      </x:c>
      <x:c r="F163" s="71" t="str">
        <x:f>IFERROR(INDEX('学校信息'!$G$4:$G$53,MATCH(B163,'学校信息'!$A$4:$A$53,0)),"")</x:f>
      </x:c>
      <x:c r="G163" s="75"/>
      <x:c r="H163" s="70"/>
      <x:c r="I163" s="70"/>
      <x:c r="J163" s="28"/>
      <x:c r="K163" s="70"/>
      <x:c r="L163" s="70"/>
      <x:c r="M163" s="70"/>
      <x:c r="N163" s="70"/>
      <x:c r="O163" s="70"/>
      <x:c r="P163" s="28"/>
      <x:c r="Q163" s="70"/>
      <x:c r="R163" s="28"/>
      <x:c r="S163" s="28"/>
      <x:c r="T163" s="60" t="str">
        <x:f>IF(COUNTA(A163:D163)+COUNTA(G163:S163)=0,"",IF(OR(A163="",B163="",C163="",D163="",G163="",H163="",J163="",R163=""),"缺少必填项",IF(COUNTIF($A$4:$A$203,A163)&gt;1,"全局队伍ID重复",IF(COUNTIF('学校信息'!$A$4:$A$53,B163)=0,"学校ID不存在",IF(COUNTIFS($B$4:$B$203,B163,$G$4:$G$203,G163,$R$4:$R$203,"启用")&gt;1,"同校Hydro UID重复","通过")))))</x:f>
      </x:c>
    </x:row>
    <x:row r="164" ht="22" customHeight="1">
      <x:c r="A164" s="70"/>
      <x:c r="B164" s="70"/>
      <x:c r="C164" s="70"/>
      <x:c r="D164" s="70"/>
      <x:c r="E164" s="71" t="str">
        <x:f>IFERROR(INDEX('学校信息'!$F$4:$F$53,MATCH(B164,'学校信息'!$A$4:$A$53,0)),"")</x:f>
      </x:c>
      <x:c r="F164" s="71" t="str">
        <x:f>IFERROR(INDEX('学校信息'!$G$4:$G$53,MATCH(B164,'学校信息'!$A$4:$A$53,0)),"")</x:f>
      </x:c>
      <x:c r="G164" s="75"/>
      <x:c r="H164" s="70"/>
      <x:c r="I164" s="70"/>
      <x:c r="J164" s="28"/>
      <x:c r="K164" s="70"/>
      <x:c r="L164" s="70"/>
      <x:c r="M164" s="70"/>
      <x:c r="N164" s="70"/>
      <x:c r="O164" s="70"/>
      <x:c r="P164" s="28"/>
      <x:c r="Q164" s="70"/>
      <x:c r="R164" s="28"/>
      <x:c r="S164" s="28"/>
      <x:c r="T164" s="60" t="str">
        <x:f>IF(COUNTA(A164:D164)+COUNTA(G164:S164)=0,"",IF(OR(A164="",B164="",C164="",D164="",G164="",H164="",J164="",R164=""),"缺少必填项",IF(COUNTIF($A$4:$A$203,A164)&gt;1,"全局队伍ID重复",IF(COUNTIF('学校信息'!$A$4:$A$53,B164)=0,"学校ID不存在",IF(COUNTIFS($B$4:$B$203,B164,$G$4:$G$203,G164,$R$4:$R$203,"启用")&gt;1,"同校Hydro UID重复","通过")))))</x:f>
      </x:c>
    </x:row>
    <x:row r="165" ht="22" customHeight="1">
      <x:c r="A165" s="70"/>
      <x:c r="B165" s="70"/>
      <x:c r="C165" s="70"/>
      <x:c r="D165" s="70"/>
      <x:c r="E165" s="71" t="str">
        <x:f>IFERROR(INDEX('学校信息'!$F$4:$F$53,MATCH(B165,'学校信息'!$A$4:$A$53,0)),"")</x:f>
      </x:c>
      <x:c r="F165" s="71" t="str">
        <x:f>IFERROR(INDEX('学校信息'!$G$4:$G$53,MATCH(B165,'学校信息'!$A$4:$A$53,0)),"")</x:f>
      </x:c>
      <x:c r="G165" s="75"/>
      <x:c r="H165" s="70"/>
      <x:c r="I165" s="70"/>
      <x:c r="J165" s="28"/>
      <x:c r="K165" s="70"/>
      <x:c r="L165" s="70"/>
      <x:c r="M165" s="70"/>
      <x:c r="N165" s="70"/>
      <x:c r="O165" s="70"/>
      <x:c r="P165" s="28"/>
      <x:c r="Q165" s="70"/>
      <x:c r="R165" s="28"/>
      <x:c r="S165" s="28"/>
      <x:c r="T165" s="60" t="str">
        <x:f>IF(COUNTA(A165:D165)+COUNTA(G165:S165)=0,"",IF(OR(A165="",B165="",C165="",D165="",G165="",H165="",J165="",R165=""),"缺少必填项",IF(COUNTIF($A$4:$A$203,A165)&gt;1,"全局队伍ID重复",IF(COUNTIF('学校信息'!$A$4:$A$53,B165)=0,"学校ID不存在",IF(COUNTIFS($B$4:$B$203,B165,$G$4:$G$203,G165,$R$4:$R$203,"启用")&gt;1,"同校Hydro UID重复","通过")))))</x:f>
      </x:c>
    </x:row>
    <x:row r="166" ht="22" customHeight="1">
      <x:c r="A166" s="70"/>
      <x:c r="B166" s="70"/>
      <x:c r="C166" s="70"/>
      <x:c r="D166" s="70"/>
      <x:c r="E166" s="71" t="str">
        <x:f>IFERROR(INDEX('学校信息'!$F$4:$F$53,MATCH(B166,'学校信息'!$A$4:$A$53,0)),"")</x:f>
      </x:c>
      <x:c r="F166" s="71" t="str">
        <x:f>IFERROR(INDEX('学校信息'!$G$4:$G$53,MATCH(B166,'学校信息'!$A$4:$A$53,0)),"")</x:f>
      </x:c>
      <x:c r="G166" s="75"/>
      <x:c r="H166" s="70"/>
      <x:c r="I166" s="70"/>
      <x:c r="J166" s="28"/>
      <x:c r="K166" s="70"/>
      <x:c r="L166" s="70"/>
      <x:c r="M166" s="70"/>
      <x:c r="N166" s="70"/>
      <x:c r="O166" s="70"/>
      <x:c r="P166" s="28"/>
      <x:c r="Q166" s="70"/>
      <x:c r="R166" s="28"/>
      <x:c r="S166" s="28"/>
      <x:c r="T166" s="60" t="str">
        <x:f>IF(COUNTA(A166:D166)+COUNTA(G166:S166)=0,"",IF(OR(A166="",B166="",C166="",D166="",G166="",H166="",J166="",R166=""),"缺少必填项",IF(COUNTIF($A$4:$A$203,A166)&gt;1,"全局队伍ID重复",IF(COUNTIF('学校信息'!$A$4:$A$53,B166)=0,"学校ID不存在",IF(COUNTIFS($B$4:$B$203,B166,$G$4:$G$203,G166,$R$4:$R$203,"启用")&gt;1,"同校Hydro UID重复","通过")))))</x:f>
      </x:c>
    </x:row>
    <x:row r="167" ht="22" customHeight="1">
      <x:c r="A167" s="70"/>
      <x:c r="B167" s="70"/>
      <x:c r="C167" s="70"/>
      <x:c r="D167" s="70"/>
      <x:c r="E167" s="71" t="str">
        <x:f>IFERROR(INDEX('学校信息'!$F$4:$F$53,MATCH(B167,'学校信息'!$A$4:$A$53,0)),"")</x:f>
      </x:c>
      <x:c r="F167" s="71" t="str">
        <x:f>IFERROR(INDEX('学校信息'!$G$4:$G$53,MATCH(B167,'学校信息'!$A$4:$A$53,0)),"")</x:f>
      </x:c>
      <x:c r="G167" s="75"/>
      <x:c r="H167" s="70"/>
      <x:c r="I167" s="70"/>
      <x:c r="J167" s="28"/>
      <x:c r="K167" s="70"/>
      <x:c r="L167" s="70"/>
      <x:c r="M167" s="70"/>
      <x:c r="N167" s="70"/>
      <x:c r="O167" s="70"/>
      <x:c r="P167" s="28"/>
      <x:c r="Q167" s="70"/>
      <x:c r="R167" s="28"/>
      <x:c r="S167" s="28"/>
      <x:c r="T167" s="60" t="str">
        <x:f>IF(COUNTA(A167:D167)+COUNTA(G167:S167)=0,"",IF(OR(A167="",B167="",C167="",D167="",G167="",H167="",J167="",R167=""),"缺少必填项",IF(COUNTIF($A$4:$A$203,A167)&gt;1,"全局队伍ID重复",IF(COUNTIF('学校信息'!$A$4:$A$53,B167)=0,"学校ID不存在",IF(COUNTIFS($B$4:$B$203,B167,$G$4:$G$203,G167,$R$4:$R$203,"启用")&gt;1,"同校Hydro UID重复","通过")))))</x:f>
      </x:c>
    </x:row>
    <x:row r="168" ht="22" customHeight="1">
      <x:c r="A168" s="70"/>
      <x:c r="B168" s="70"/>
      <x:c r="C168" s="70"/>
      <x:c r="D168" s="70"/>
      <x:c r="E168" s="71" t="str">
        <x:f>IFERROR(INDEX('学校信息'!$F$4:$F$53,MATCH(B168,'学校信息'!$A$4:$A$53,0)),"")</x:f>
      </x:c>
      <x:c r="F168" s="71" t="str">
        <x:f>IFERROR(INDEX('学校信息'!$G$4:$G$53,MATCH(B168,'学校信息'!$A$4:$A$53,0)),"")</x:f>
      </x:c>
      <x:c r="G168" s="75"/>
      <x:c r="H168" s="70"/>
      <x:c r="I168" s="70"/>
      <x:c r="J168" s="28"/>
      <x:c r="K168" s="70"/>
      <x:c r="L168" s="70"/>
      <x:c r="M168" s="70"/>
      <x:c r="N168" s="70"/>
      <x:c r="O168" s="70"/>
      <x:c r="P168" s="28"/>
      <x:c r="Q168" s="70"/>
      <x:c r="R168" s="28"/>
      <x:c r="S168" s="28"/>
      <x:c r="T168" s="60" t="str">
        <x:f>IF(COUNTA(A168:D168)+COUNTA(G168:S168)=0,"",IF(OR(A168="",B168="",C168="",D168="",G168="",H168="",J168="",R168=""),"缺少必填项",IF(COUNTIF($A$4:$A$203,A168)&gt;1,"全局队伍ID重复",IF(COUNTIF('学校信息'!$A$4:$A$53,B168)=0,"学校ID不存在",IF(COUNTIFS($B$4:$B$203,B168,$G$4:$G$203,G168,$R$4:$R$203,"启用")&gt;1,"同校Hydro UID重复","通过")))))</x:f>
      </x:c>
    </x:row>
    <x:row r="169" ht="22" customHeight="1">
      <x:c r="A169" s="70"/>
      <x:c r="B169" s="70"/>
      <x:c r="C169" s="70"/>
      <x:c r="D169" s="70"/>
      <x:c r="E169" s="71" t="str">
        <x:f>IFERROR(INDEX('学校信息'!$F$4:$F$53,MATCH(B169,'学校信息'!$A$4:$A$53,0)),"")</x:f>
      </x:c>
      <x:c r="F169" s="71" t="str">
        <x:f>IFERROR(INDEX('学校信息'!$G$4:$G$53,MATCH(B169,'学校信息'!$A$4:$A$53,0)),"")</x:f>
      </x:c>
      <x:c r="G169" s="75"/>
      <x:c r="H169" s="70"/>
      <x:c r="I169" s="70"/>
      <x:c r="J169" s="28"/>
      <x:c r="K169" s="70"/>
      <x:c r="L169" s="70"/>
      <x:c r="M169" s="70"/>
      <x:c r="N169" s="70"/>
      <x:c r="O169" s="70"/>
      <x:c r="P169" s="28"/>
      <x:c r="Q169" s="70"/>
      <x:c r="R169" s="28"/>
      <x:c r="S169" s="28"/>
      <x:c r="T169" s="60" t="str">
        <x:f>IF(COUNTA(A169:D169)+COUNTA(G169:S169)=0,"",IF(OR(A169="",B169="",C169="",D169="",G169="",H169="",J169="",R169=""),"缺少必填项",IF(COUNTIF($A$4:$A$203,A169)&gt;1,"全局队伍ID重复",IF(COUNTIF('学校信息'!$A$4:$A$53,B169)=0,"学校ID不存在",IF(COUNTIFS($B$4:$B$203,B169,$G$4:$G$203,G169,$R$4:$R$203,"启用")&gt;1,"同校Hydro UID重复","通过")))))</x:f>
      </x:c>
    </x:row>
    <x:row r="170" ht="22" customHeight="1">
      <x:c r="A170" s="70"/>
      <x:c r="B170" s="70"/>
      <x:c r="C170" s="70"/>
      <x:c r="D170" s="70"/>
      <x:c r="E170" s="71" t="str">
        <x:f>IFERROR(INDEX('学校信息'!$F$4:$F$53,MATCH(B170,'学校信息'!$A$4:$A$53,0)),"")</x:f>
      </x:c>
      <x:c r="F170" s="71" t="str">
        <x:f>IFERROR(INDEX('学校信息'!$G$4:$G$53,MATCH(B170,'学校信息'!$A$4:$A$53,0)),"")</x:f>
      </x:c>
      <x:c r="G170" s="75"/>
      <x:c r="H170" s="70"/>
      <x:c r="I170" s="70"/>
      <x:c r="J170" s="28"/>
      <x:c r="K170" s="70"/>
      <x:c r="L170" s="70"/>
      <x:c r="M170" s="70"/>
      <x:c r="N170" s="70"/>
      <x:c r="O170" s="70"/>
      <x:c r="P170" s="28"/>
      <x:c r="Q170" s="70"/>
      <x:c r="R170" s="28"/>
      <x:c r="S170" s="28"/>
      <x:c r="T170" s="60" t="str">
        <x:f>IF(COUNTA(A170:D170)+COUNTA(G170:S170)=0,"",IF(OR(A170="",B170="",C170="",D170="",G170="",H170="",J170="",R170=""),"缺少必填项",IF(COUNTIF($A$4:$A$203,A170)&gt;1,"全局队伍ID重复",IF(COUNTIF('学校信息'!$A$4:$A$53,B170)=0,"学校ID不存在",IF(COUNTIFS($B$4:$B$203,B170,$G$4:$G$203,G170,$R$4:$R$203,"启用")&gt;1,"同校Hydro UID重复","通过")))))</x:f>
      </x:c>
    </x:row>
    <x:row r="171" ht="22" customHeight="1">
      <x:c r="A171" s="70"/>
      <x:c r="B171" s="70"/>
      <x:c r="C171" s="70"/>
      <x:c r="D171" s="70"/>
      <x:c r="E171" s="71" t="str">
        <x:f>IFERROR(INDEX('学校信息'!$F$4:$F$53,MATCH(B171,'学校信息'!$A$4:$A$53,0)),"")</x:f>
      </x:c>
      <x:c r="F171" s="71" t="str">
        <x:f>IFERROR(INDEX('学校信息'!$G$4:$G$53,MATCH(B171,'学校信息'!$A$4:$A$53,0)),"")</x:f>
      </x:c>
      <x:c r="G171" s="75"/>
      <x:c r="H171" s="70"/>
      <x:c r="I171" s="70"/>
      <x:c r="J171" s="28"/>
      <x:c r="K171" s="70"/>
      <x:c r="L171" s="70"/>
      <x:c r="M171" s="70"/>
      <x:c r="N171" s="70"/>
      <x:c r="O171" s="70"/>
      <x:c r="P171" s="28"/>
      <x:c r="Q171" s="70"/>
      <x:c r="R171" s="28"/>
      <x:c r="S171" s="28"/>
      <x:c r="T171" s="60" t="str">
        <x:f>IF(COUNTA(A171:D171)+COUNTA(G171:S171)=0,"",IF(OR(A171="",B171="",C171="",D171="",G171="",H171="",J171="",R171=""),"缺少必填项",IF(COUNTIF($A$4:$A$203,A171)&gt;1,"全局队伍ID重复",IF(COUNTIF('学校信息'!$A$4:$A$53,B171)=0,"学校ID不存在",IF(COUNTIFS($B$4:$B$203,B171,$G$4:$G$203,G171,$R$4:$R$203,"启用")&gt;1,"同校Hydro UID重复","通过")))))</x:f>
      </x:c>
    </x:row>
    <x:row r="172" ht="22" customHeight="1">
      <x:c r="A172" s="70"/>
      <x:c r="B172" s="70"/>
      <x:c r="C172" s="70"/>
      <x:c r="D172" s="70"/>
      <x:c r="E172" s="71" t="str">
        <x:f>IFERROR(INDEX('学校信息'!$F$4:$F$53,MATCH(B172,'学校信息'!$A$4:$A$53,0)),"")</x:f>
      </x:c>
      <x:c r="F172" s="71" t="str">
        <x:f>IFERROR(INDEX('学校信息'!$G$4:$G$53,MATCH(B172,'学校信息'!$A$4:$A$53,0)),"")</x:f>
      </x:c>
      <x:c r="G172" s="75"/>
      <x:c r="H172" s="70"/>
      <x:c r="I172" s="70"/>
      <x:c r="J172" s="28"/>
      <x:c r="K172" s="70"/>
      <x:c r="L172" s="70"/>
      <x:c r="M172" s="70"/>
      <x:c r="N172" s="70"/>
      <x:c r="O172" s="70"/>
      <x:c r="P172" s="28"/>
      <x:c r="Q172" s="70"/>
      <x:c r="R172" s="28"/>
      <x:c r="S172" s="28"/>
      <x:c r="T172" s="60" t="str">
        <x:f>IF(COUNTA(A172:D172)+COUNTA(G172:S172)=0,"",IF(OR(A172="",B172="",C172="",D172="",G172="",H172="",J172="",R172=""),"缺少必填项",IF(COUNTIF($A$4:$A$203,A172)&gt;1,"全局队伍ID重复",IF(COUNTIF('学校信息'!$A$4:$A$53,B172)=0,"学校ID不存在",IF(COUNTIFS($B$4:$B$203,B172,$G$4:$G$203,G172,$R$4:$R$203,"启用")&gt;1,"同校Hydro UID重复","通过")))))</x:f>
      </x:c>
    </x:row>
    <x:row r="173" ht="22" customHeight="1">
      <x:c r="A173" s="70"/>
      <x:c r="B173" s="70"/>
      <x:c r="C173" s="70"/>
      <x:c r="D173" s="70"/>
      <x:c r="E173" s="71" t="str">
        <x:f>IFERROR(INDEX('学校信息'!$F$4:$F$53,MATCH(B173,'学校信息'!$A$4:$A$53,0)),"")</x:f>
      </x:c>
      <x:c r="F173" s="71" t="str">
        <x:f>IFERROR(INDEX('学校信息'!$G$4:$G$53,MATCH(B173,'学校信息'!$A$4:$A$53,0)),"")</x:f>
      </x:c>
      <x:c r="G173" s="75"/>
      <x:c r="H173" s="70"/>
      <x:c r="I173" s="70"/>
      <x:c r="J173" s="28"/>
      <x:c r="K173" s="70"/>
      <x:c r="L173" s="70"/>
      <x:c r="M173" s="70"/>
      <x:c r="N173" s="70"/>
      <x:c r="O173" s="70"/>
      <x:c r="P173" s="28"/>
      <x:c r="Q173" s="70"/>
      <x:c r="R173" s="28"/>
      <x:c r="S173" s="28"/>
      <x:c r="T173" s="60" t="str">
        <x:f>IF(COUNTA(A173:D173)+COUNTA(G173:S173)=0,"",IF(OR(A173="",B173="",C173="",D173="",G173="",H173="",J173="",R173=""),"缺少必填项",IF(COUNTIF($A$4:$A$203,A173)&gt;1,"全局队伍ID重复",IF(COUNTIF('学校信息'!$A$4:$A$53,B173)=0,"学校ID不存在",IF(COUNTIFS($B$4:$B$203,B173,$G$4:$G$203,G173,$R$4:$R$203,"启用")&gt;1,"同校Hydro UID重复","通过")))))</x:f>
      </x:c>
    </x:row>
    <x:row r="174" ht="22" customHeight="1">
      <x:c r="A174" s="70"/>
      <x:c r="B174" s="70"/>
      <x:c r="C174" s="70"/>
      <x:c r="D174" s="70"/>
      <x:c r="E174" s="71" t="str">
        <x:f>IFERROR(INDEX('学校信息'!$F$4:$F$53,MATCH(B174,'学校信息'!$A$4:$A$53,0)),"")</x:f>
      </x:c>
      <x:c r="F174" s="71" t="str">
        <x:f>IFERROR(INDEX('学校信息'!$G$4:$G$53,MATCH(B174,'学校信息'!$A$4:$A$53,0)),"")</x:f>
      </x:c>
      <x:c r="G174" s="75"/>
      <x:c r="H174" s="70"/>
      <x:c r="I174" s="70"/>
      <x:c r="J174" s="28"/>
      <x:c r="K174" s="70"/>
      <x:c r="L174" s="70"/>
      <x:c r="M174" s="70"/>
      <x:c r="N174" s="70"/>
      <x:c r="O174" s="70"/>
      <x:c r="P174" s="28"/>
      <x:c r="Q174" s="70"/>
      <x:c r="R174" s="28"/>
      <x:c r="S174" s="28"/>
      <x:c r="T174" s="60" t="str">
        <x:f>IF(COUNTA(A174:D174)+COUNTA(G174:S174)=0,"",IF(OR(A174="",B174="",C174="",D174="",G174="",H174="",J174="",R174=""),"缺少必填项",IF(COUNTIF($A$4:$A$203,A174)&gt;1,"全局队伍ID重复",IF(COUNTIF('学校信息'!$A$4:$A$53,B174)=0,"学校ID不存在",IF(COUNTIFS($B$4:$B$203,B174,$G$4:$G$203,G174,$R$4:$R$203,"启用")&gt;1,"同校Hydro UID重复","通过")))))</x:f>
      </x:c>
    </x:row>
    <x:row r="175" ht="22" customHeight="1">
      <x:c r="A175" s="70"/>
      <x:c r="B175" s="70"/>
      <x:c r="C175" s="70"/>
      <x:c r="D175" s="70"/>
      <x:c r="E175" s="71" t="str">
        <x:f>IFERROR(INDEX('学校信息'!$F$4:$F$53,MATCH(B175,'学校信息'!$A$4:$A$53,0)),"")</x:f>
      </x:c>
      <x:c r="F175" s="71" t="str">
        <x:f>IFERROR(INDEX('学校信息'!$G$4:$G$53,MATCH(B175,'学校信息'!$A$4:$A$53,0)),"")</x:f>
      </x:c>
      <x:c r="G175" s="75"/>
      <x:c r="H175" s="70"/>
      <x:c r="I175" s="70"/>
      <x:c r="J175" s="28"/>
      <x:c r="K175" s="70"/>
      <x:c r="L175" s="70"/>
      <x:c r="M175" s="70"/>
      <x:c r="N175" s="70"/>
      <x:c r="O175" s="70"/>
      <x:c r="P175" s="28"/>
      <x:c r="Q175" s="70"/>
      <x:c r="R175" s="28"/>
      <x:c r="S175" s="28"/>
      <x:c r="T175" s="60" t="str">
        <x:f>IF(COUNTA(A175:D175)+COUNTA(G175:S175)=0,"",IF(OR(A175="",B175="",C175="",D175="",G175="",H175="",J175="",R175=""),"缺少必填项",IF(COUNTIF($A$4:$A$203,A175)&gt;1,"全局队伍ID重复",IF(COUNTIF('学校信息'!$A$4:$A$53,B175)=0,"学校ID不存在",IF(COUNTIFS($B$4:$B$203,B175,$G$4:$G$203,G175,$R$4:$R$203,"启用")&gt;1,"同校Hydro UID重复","通过")))))</x:f>
      </x:c>
    </x:row>
    <x:row r="176" ht="22" customHeight="1">
      <x:c r="A176" s="70"/>
      <x:c r="B176" s="70"/>
      <x:c r="C176" s="70"/>
      <x:c r="D176" s="70"/>
      <x:c r="E176" s="71" t="str">
        <x:f>IFERROR(INDEX('学校信息'!$F$4:$F$53,MATCH(B176,'学校信息'!$A$4:$A$53,0)),"")</x:f>
      </x:c>
      <x:c r="F176" s="71" t="str">
        <x:f>IFERROR(INDEX('学校信息'!$G$4:$G$53,MATCH(B176,'学校信息'!$A$4:$A$53,0)),"")</x:f>
      </x:c>
      <x:c r="G176" s="75"/>
      <x:c r="H176" s="70"/>
      <x:c r="I176" s="70"/>
      <x:c r="J176" s="28"/>
      <x:c r="K176" s="70"/>
      <x:c r="L176" s="70"/>
      <x:c r="M176" s="70"/>
      <x:c r="N176" s="70"/>
      <x:c r="O176" s="70"/>
      <x:c r="P176" s="28"/>
      <x:c r="Q176" s="70"/>
      <x:c r="R176" s="28"/>
      <x:c r="S176" s="28"/>
      <x:c r="T176" s="60" t="str">
        <x:f>IF(COUNTA(A176:D176)+COUNTA(G176:S176)=0,"",IF(OR(A176="",B176="",C176="",D176="",G176="",H176="",J176="",R176=""),"缺少必填项",IF(COUNTIF($A$4:$A$203,A176)&gt;1,"全局队伍ID重复",IF(COUNTIF('学校信息'!$A$4:$A$53,B176)=0,"学校ID不存在",IF(COUNTIFS($B$4:$B$203,B176,$G$4:$G$203,G176,$R$4:$R$203,"启用")&gt;1,"同校Hydro UID重复","通过")))))</x:f>
      </x:c>
    </x:row>
    <x:row r="177" ht="22" customHeight="1">
      <x:c r="A177" s="70"/>
      <x:c r="B177" s="70"/>
      <x:c r="C177" s="70"/>
      <x:c r="D177" s="70"/>
      <x:c r="E177" s="71" t="str">
        <x:f>IFERROR(INDEX('学校信息'!$F$4:$F$53,MATCH(B177,'学校信息'!$A$4:$A$53,0)),"")</x:f>
      </x:c>
      <x:c r="F177" s="71" t="str">
        <x:f>IFERROR(INDEX('学校信息'!$G$4:$G$53,MATCH(B177,'学校信息'!$A$4:$A$53,0)),"")</x:f>
      </x:c>
      <x:c r="G177" s="75"/>
      <x:c r="H177" s="70"/>
      <x:c r="I177" s="70"/>
      <x:c r="J177" s="28"/>
      <x:c r="K177" s="70"/>
      <x:c r="L177" s="70"/>
      <x:c r="M177" s="70"/>
      <x:c r="N177" s="70"/>
      <x:c r="O177" s="70"/>
      <x:c r="P177" s="28"/>
      <x:c r="Q177" s="70"/>
      <x:c r="R177" s="28"/>
      <x:c r="S177" s="28"/>
      <x:c r="T177" s="60" t="str">
        <x:f>IF(COUNTA(A177:D177)+COUNTA(G177:S177)=0,"",IF(OR(A177="",B177="",C177="",D177="",G177="",H177="",J177="",R177=""),"缺少必填项",IF(COUNTIF($A$4:$A$203,A177)&gt;1,"全局队伍ID重复",IF(COUNTIF('学校信息'!$A$4:$A$53,B177)=0,"学校ID不存在",IF(COUNTIFS($B$4:$B$203,B177,$G$4:$G$203,G177,$R$4:$R$203,"启用")&gt;1,"同校Hydro UID重复","通过")))))</x:f>
      </x:c>
    </x:row>
    <x:row r="178" ht="22" customHeight="1">
      <x:c r="A178" s="70"/>
      <x:c r="B178" s="70"/>
      <x:c r="C178" s="70"/>
      <x:c r="D178" s="70"/>
      <x:c r="E178" s="71" t="str">
        <x:f>IFERROR(INDEX('学校信息'!$F$4:$F$53,MATCH(B178,'学校信息'!$A$4:$A$53,0)),"")</x:f>
      </x:c>
      <x:c r="F178" s="71" t="str">
        <x:f>IFERROR(INDEX('学校信息'!$G$4:$G$53,MATCH(B178,'学校信息'!$A$4:$A$53,0)),"")</x:f>
      </x:c>
      <x:c r="G178" s="75"/>
      <x:c r="H178" s="70"/>
      <x:c r="I178" s="70"/>
      <x:c r="J178" s="28"/>
      <x:c r="K178" s="70"/>
      <x:c r="L178" s="70"/>
      <x:c r="M178" s="70"/>
      <x:c r="N178" s="70"/>
      <x:c r="O178" s="70"/>
      <x:c r="P178" s="28"/>
      <x:c r="Q178" s="70"/>
      <x:c r="R178" s="28"/>
      <x:c r="S178" s="28"/>
      <x:c r="T178" s="60" t="str">
        <x:f>IF(COUNTA(A178:D178)+COUNTA(G178:S178)=0,"",IF(OR(A178="",B178="",C178="",D178="",G178="",H178="",J178="",R178=""),"缺少必填项",IF(COUNTIF($A$4:$A$203,A178)&gt;1,"全局队伍ID重复",IF(COUNTIF('学校信息'!$A$4:$A$53,B178)=0,"学校ID不存在",IF(COUNTIFS($B$4:$B$203,B178,$G$4:$G$203,G178,$R$4:$R$203,"启用")&gt;1,"同校Hydro UID重复","通过")))))</x:f>
      </x:c>
    </x:row>
    <x:row r="179" ht="22" customHeight="1">
      <x:c r="A179" s="70"/>
      <x:c r="B179" s="70"/>
      <x:c r="C179" s="70"/>
      <x:c r="D179" s="70"/>
      <x:c r="E179" s="71" t="str">
        <x:f>IFERROR(INDEX('学校信息'!$F$4:$F$53,MATCH(B179,'学校信息'!$A$4:$A$53,0)),"")</x:f>
      </x:c>
      <x:c r="F179" s="71" t="str">
        <x:f>IFERROR(INDEX('学校信息'!$G$4:$G$53,MATCH(B179,'学校信息'!$A$4:$A$53,0)),"")</x:f>
      </x:c>
      <x:c r="G179" s="75"/>
      <x:c r="H179" s="70"/>
      <x:c r="I179" s="70"/>
      <x:c r="J179" s="28"/>
      <x:c r="K179" s="70"/>
      <x:c r="L179" s="70"/>
      <x:c r="M179" s="70"/>
      <x:c r="N179" s="70"/>
      <x:c r="O179" s="70"/>
      <x:c r="P179" s="28"/>
      <x:c r="Q179" s="70"/>
      <x:c r="R179" s="28"/>
      <x:c r="S179" s="28"/>
      <x:c r="T179" s="60" t="str">
        <x:f>IF(COUNTA(A179:D179)+COUNTA(G179:S179)=0,"",IF(OR(A179="",B179="",C179="",D179="",G179="",H179="",J179="",R179=""),"缺少必填项",IF(COUNTIF($A$4:$A$203,A179)&gt;1,"全局队伍ID重复",IF(COUNTIF('学校信息'!$A$4:$A$53,B179)=0,"学校ID不存在",IF(COUNTIFS($B$4:$B$203,B179,$G$4:$G$203,G179,$R$4:$R$203,"启用")&gt;1,"同校Hydro UID重复","通过")))))</x:f>
      </x:c>
    </x:row>
    <x:row r="180" ht="22" customHeight="1">
      <x:c r="A180" s="70"/>
      <x:c r="B180" s="70"/>
      <x:c r="C180" s="70"/>
      <x:c r="D180" s="70"/>
      <x:c r="E180" s="71" t="str">
        <x:f>IFERROR(INDEX('学校信息'!$F$4:$F$53,MATCH(B180,'学校信息'!$A$4:$A$53,0)),"")</x:f>
      </x:c>
      <x:c r="F180" s="71" t="str">
        <x:f>IFERROR(INDEX('学校信息'!$G$4:$G$53,MATCH(B180,'学校信息'!$A$4:$A$53,0)),"")</x:f>
      </x:c>
      <x:c r="G180" s="75"/>
      <x:c r="H180" s="70"/>
      <x:c r="I180" s="70"/>
      <x:c r="J180" s="28"/>
      <x:c r="K180" s="70"/>
      <x:c r="L180" s="70"/>
      <x:c r="M180" s="70"/>
      <x:c r="N180" s="70"/>
      <x:c r="O180" s="70"/>
      <x:c r="P180" s="28"/>
      <x:c r="Q180" s="70"/>
      <x:c r="R180" s="28"/>
      <x:c r="S180" s="28"/>
      <x:c r="T180" s="60" t="str">
        <x:f>IF(COUNTA(A180:D180)+COUNTA(G180:S180)=0,"",IF(OR(A180="",B180="",C180="",D180="",G180="",H180="",J180="",R180=""),"缺少必填项",IF(COUNTIF($A$4:$A$203,A180)&gt;1,"全局队伍ID重复",IF(COUNTIF('学校信息'!$A$4:$A$53,B180)=0,"学校ID不存在",IF(COUNTIFS($B$4:$B$203,B180,$G$4:$G$203,G180,$R$4:$R$203,"启用")&gt;1,"同校Hydro UID重复","通过")))))</x:f>
      </x:c>
    </x:row>
    <x:row r="181" ht="22" customHeight="1">
      <x:c r="A181" s="70"/>
      <x:c r="B181" s="70"/>
      <x:c r="C181" s="70"/>
      <x:c r="D181" s="70"/>
      <x:c r="E181" s="71" t="str">
        <x:f>IFERROR(INDEX('学校信息'!$F$4:$F$53,MATCH(B181,'学校信息'!$A$4:$A$53,0)),"")</x:f>
      </x:c>
      <x:c r="F181" s="71" t="str">
        <x:f>IFERROR(INDEX('学校信息'!$G$4:$G$53,MATCH(B181,'学校信息'!$A$4:$A$53,0)),"")</x:f>
      </x:c>
      <x:c r="G181" s="75"/>
      <x:c r="H181" s="70"/>
      <x:c r="I181" s="70"/>
      <x:c r="J181" s="28"/>
      <x:c r="K181" s="70"/>
      <x:c r="L181" s="70"/>
      <x:c r="M181" s="70"/>
      <x:c r="N181" s="70"/>
      <x:c r="O181" s="70"/>
      <x:c r="P181" s="28"/>
      <x:c r="Q181" s="70"/>
      <x:c r="R181" s="28"/>
      <x:c r="S181" s="28"/>
      <x:c r="T181" s="60" t="str">
        <x:f>IF(COUNTA(A181:D181)+COUNTA(G181:S181)=0,"",IF(OR(A181="",B181="",C181="",D181="",G181="",H181="",J181="",R181=""),"缺少必填项",IF(COUNTIF($A$4:$A$203,A181)&gt;1,"全局队伍ID重复",IF(COUNTIF('学校信息'!$A$4:$A$53,B181)=0,"学校ID不存在",IF(COUNTIFS($B$4:$B$203,B181,$G$4:$G$203,G181,$R$4:$R$203,"启用")&gt;1,"同校Hydro UID重复","通过")))))</x:f>
      </x:c>
    </x:row>
    <x:row r="182" ht="22" customHeight="1">
      <x:c r="A182" s="70"/>
      <x:c r="B182" s="70"/>
      <x:c r="C182" s="70"/>
      <x:c r="D182" s="70"/>
      <x:c r="E182" s="71" t="str">
        <x:f>IFERROR(INDEX('学校信息'!$F$4:$F$53,MATCH(B182,'学校信息'!$A$4:$A$53,0)),"")</x:f>
      </x:c>
      <x:c r="F182" s="71" t="str">
        <x:f>IFERROR(INDEX('学校信息'!$G$4:$G$53,MATCH(B182,'学校信息'!$A$4:$A$53,0)),"")</x:f>
      </x:c>
      <x:c r="G182" s="75"/>
      <x:c r="H182" s="70"/>
      <x:c r="I182" s="70"/>
      <x:c r="J182" s="28"/>
      <x:c r="K182" s="70"/>
      <x:c r="L182" s="70"/>
      <x:c r="M182" s="70"/>
      <x:c r="N182" s="70"/>
      <x:c r="O182" s="70"/>
      <x:c r="P182" s="28"/>
      <x:c r="Q182" s="70"/>
      <x:c r="R182" s="28"/>
      <x:c r="S182" s="28"/>
      <x:c r="T182" s="60" t="str">
        <x:f>IF(COUNTA(A182:D182)+COUNTA(G182:S182)=0,"",IF(OR(A182="",B182="",C182="",D182="",G182="",H182="",J182="",R182=""),"缺少必填项",IF(COUNTIF($A$4:$A$203,A182)&gt;1,"全局队伍ID重复",IF(COUNTIF('学校信息'!$A$4:$A$53,B182)=0,"学校ID不存在",IF(COUNTIFS($B$4:$B$203,B182,$G$4:$G$203,G182,$R$4:$R$203,"启用")&gt;1,"同校Hydro UID重复","通过")))))</x:f>
      </x:c>
    </x:row>
    <x:row r="183" ht="22" customHeight="1">
      <x:c r="A183" s="70"/>
      <x:c r="B183" s="70"/>
      <x:c r="C183" s="70"/>
      <x:c r="D183" s="70"/>
      <x:c r="E183" s="71" t="str">
        <x:f>IFERROR(INDEX('学校信息'!$F$4:$F$53,MATCH(B183,'学校信息'!$A$4:$A$53,0)),"")</x:f>
      </x:c>
      <x:c r="F183" s="71" t="str">
        <x:f>IFERROR(INDEX('学校信息'!$G$4:$G$53,MATCH(B183,'学校信息'!$A$4:$A$53,0)),"")</x:f>
      </x:c>
      <x:c r="G183" s="75"/>
      <x:c r="H183" s="70"/>
      <x:c r="I183" s="70"/>
      <x:c r="J183" s="28"/>
      <x:c r="K183" s="70"/>
      <x:c r="L183" s="70"/>
      <x:c r="M183" s="70"/>
      <x:c r="N183" s="70"/>
      <x:c r="O183" s="70"/>
      <x:c r="P183" s="28"/>
      <x:c r="Q183" s="70"/>
      <x:c r="R183" s="28"/>
      <x:c r="S183" s="28"/>
      <x:c r="T183" s="60" t="str">
        <x:f>IF(COUNTA(A183:D183)+COUNTA(G183:S183)=0,"",IF(OR(A183="",B183="",C183="",D183="",G183="",H183="",J183="",R183=""),"缺少必填项",IF(COUNTIF($A$4:$A$203,A183)&gt;1,"全局队伍ID重复",IF(COUNTIF('学校信息'!$A$4:$A$53,B183)=0,"学校ID不存在",IF(COUNTIFS($B$4:$B$203,B183,$G$4:$G$203,G183,$R$4:$R$203,"启用")&gt;1,"同校Hydro UID重复","通过")))))</x:f>
      </x:c>
    </x:row>
    <x:row r="184" ht="22" customHeight="1">
      <x:c r="A184" s="70"/>
      <x:c r="B184" s="70"/>
      <x:c r="C184" s="70"/>
      <x:c r="D184" s="70"/>
      <x:c r="E184" s="71" t="str">
        <x:f>IFERROR(INDEX('学校信息'!$F$4:$F$53,MATCH(B184,'学校信息'!$A$4:$A$53,0)),"")</x:f>
      </x:c>
      <x:c r="F184" s="71" t="str">
        <x:f>IFERROR(INDEX('学校信息'!$G$4:$G$53,MATCH(B184,'学校信息'!$A$4:$A$53,0)),"")</x:f>
      </x:c>
      <x:c r="G184" s="75"/>
      <x:c r="H184" s="70"/>
      <x:c r="I184" s="70"/>
      <x:c r="J184" s="28"/>
      <x:c r="K184" s="70"/>
      <x:c r="L184" s="70"/>
      <x:c r="M184" s="70"/>
      <x:c r="N184" s="70"/>
      <x:c r="O184" s="70"/>
      <x:c r="P184" s="28"/>
      <x:c r="Q184" s="70"/>
      <x:c r="R184" s="28"/>
      <x:c r="S184" s="28"/>
      <x:c r="T184" s="60" t="str">
        <x:f>IF(COUNTA(A184:D184)+COUNTA(G184:S184)=0,"",IF(OR(A184="",B184="",C184="",D184="",G184="",H184="",J184="",R184=""),"缺少必填项",IF(COUNTIF($A$4:$A$203,A184)&gt;1,"全局队伍ID重复",IF(COUNTIF('学校信息'!$A$4:$A$53,B184)=0,"学校ID不存在",IF(COUNTIFS($B$4:$B$203,B184,$G$4:$G$203,G184,$R$4:$R$203,"启用")&gt;1,"同校Hydro UID重复","通过")))))</x:f>
      </x:c>
    </x:row>
    <x:row r="185" ht="22" customHeight="1">
      <x:c r="A185" s="70"/>
      <x:c r="B185" s="70"/>
      <x:c r="C185" s="70"/>
      <x:c r="D185" s="70"/>
      <x:c r="E185" s="71" t="str">
        <x:f>IFERROR(INDEX('学校信息'!$F$4:$F$53,MATCH(B185,'学校信息'!$A$4:$A$53,0)),"")</x:f>
      </x:c>
      <x:c r="F185" s="71" t="str">
        <x:f>IFERROR(INDEX('学校信息'!$G$4:$G$53,MATCH(B185,'学校信息'!$A$4:$A$53,0)),"")</x:f>
      </x:c>
      <x:c r="G185" s="75"/>
      <x:c r="H185" s="70"/>
      <x:c r="I185" s="70"/>
      <x:c r="J185" s="28"/>
      <x:c r="K185" s="70"/>
      <x:c r="L185" s="70"/>
      <x:c r="M185" s="70"/>
      <x:c r="N185" s="70"/>
      <x:c r="O185" s="70"/>
      <x:c r="P185" s="28"/>
      <x:c r="Q185" s="70"/>
      <x:c r="R185" s="28"/>
      <x:c r="S185" s="28"/>
      <x:c r="T185" s="60" t="str">
        <x:f>IF(COUNTA(A185:D185)+COUNTA(G185:S185)=0,"",IF(OR(A185="",B185="",C185="",D185="",G185="",H185="",J185="",R185=""),"缺少必填项",IF(COUNTIF($A$4:$A$203,A185)&gt;1,"全局队伍ID重复",IF(COUNTIF('学校信息'!$A$4:$A$53,B185)=0,"学校ID不存在",IF(COUNTIFS($B$4:$B$203,B185,$G$4:$G$203,G185,$R$4:$R$203,"启用")&gt;1,"同校Hydro UID重复","通过")))))</x:f>
      </x:c>
    </x:row>
    <x:row r="186" ht="22" customHeight="1">
      <x:c r="A186" s="70"/>
      <x:c r="B186" s="70"/>
      <x:c r="C186" s="70"/>
      <x:c r="D186" s="70"/>
      <x:c r="E186" s="71" t="str">
        <x:f>IFERROR(INDEX('学校信息'!$F$4:$F$53,MATCH(B186,'学校信息'!$A$4:$A$53,0)),"")</x:f>
      </x:c>
      <x:c r="F186" s="71" t="str">
        <x:f>IFERROR(INDEX('学校信息'!$G$4:$G$53,MATCH(B186,'学校信息'!$A$4:$A$53,0)),"")</x:f>
      </x:c>
      <x:c r="G186" s="75"/>
      <x:c r="H186" s="70"/>
      <x:c r="I186" s="70"/>
      <x:c r="J186" s="28"/>
      <x:c r="K186" s="70"/>
      <x:c r="L186" s="70"/>
      <x:c r="M186" s="70"/>
      <x:c r="N186" s="70"/>
      <x:c r="O186" s="70"/>
      <x:c r="P186" s="28"/>
      <x:c r="Q186" s="70"/>
      <x:c r="R186" s="28"/>
      <x:c r="S186" s="28"/>
      <x:c r="T186" s="60" t="str">
        <x:f>IF(COUNTA(A186:D186)+COUNTA(G186:S186)=0,"",IF(OR(A186="",B186="",C186="",D186="",G186="",H186="",J186="",R186=""),"缺少必填项",IF(COUNTIF($A$4:$A$203,A186)&gt;1,"全局队伍ID重复",IF(COUNTIF('学校信息'!$A$4:$A$53,B186)=0,"学校ID不存在",IF(COUNTIFS($B$4:$B$203,B186,$G$4:$G$203,G186,$R$4:$R$203,"启用")&gt;1,"同校Hydro UID重复","通过")))))</x:f>
      </x:c>
    </x:row>
    <x:row r="187" ht="22" customHeight="1">
      <x:c r="A187" s="70"/>
      <x:c r="B187" s="70"/>
      <x:c r="C187" s="70"/>
      <x:c r="D187" s="70"/>
      <x:c r="E187" s="71" t="str">
        <x:f>IFERROR(INDEX('学校信息'!$F$4:$F$53,MATCH(B187,'学校信息'!$A$4:$A$53,0)),"")</x:f>
      </x:c>
      <x:c r="F187" s="71" t="str">
        <x:f>IFERROR(INDEX('学校信息'!$G$4:$G$53,MATCH(B187,'学校信息'!$A$4:$A$53,0)),"")</x:f>
      </x:c>
      <x:c r="G187" s="75"/>
      <x:c r="H187" s="70"/>
      <x:c r="I187" s="70"/>
      <x:c r="J187" s="28"/>
      <x:c r="K187" s="70"/>
      <x:c r="L187" s="70"/>
      <x:c r="M187" s="70"/>
      <x:c r="N187" s="70"/>
      <x:c r="O187" s="70"/>
      <x:c r="P187" s="28"/>
      <x:c r="Q187" s="70"/>
      <x:c r="R187" s="28"/>
      <x:c r="S187" s="28"/>
      <x:c r="T187" s="60" t="str">
        <x:f>IF(COUNTA(A187:D187)+COUNTA(G187:S187)=0,"",IF(OR(A187="",B187="",C187="",D187="",G187="",H187="",J187="",R187=""),"缺少必填项",IF(COUNTIF($A$4:$A$203,A187)&gt;1,"全局队伍ID重复",IF(COUNTIF('学校信息'!$A$4:$A$53,B187)=0,"学校ID不存在",IF(COUNTIFS($B$4:$B$203,B187,$G$4:$G$203,G187,$R$4:$R$203,"启用")&gt;1,"同校Hydro UID重复","通过")))))</x:f>
      </x:c>
    </x:row>
    <x:row r="188" ht="22" customHeight="1">
      <x:c r="A188" s="70"/>
      <x:c r="B188" s="70"/>
      <x:c r="C188" s="70"/>
      <x:c r="D188" s="70"/>
      <x:c r="E188" s="71" t="str">
        <x:f>IFERROR(INDEX('学校信息'!$F$4:$F$53,MATCH(B188,'学校信息'!$A$4:$A$53,0)),"")</x:f>
      </x:c>
      <x:c r="F188" s="71" t="str">
        <x:f>IFERROR(INDEX('学校信息'!$G$4:$G$53,MATCH(B188,'学校信息'!$A$4:$A$53,0)),"")</x:f>
      </x:c>
      <x:c r="G188" s="75"/>
      <x:c r="H188" s="70"/>
      <x:c r="I188" s="70"/>
      <x:c r="J188" s="28"/>
      <x:c r="K188" s="70"/>
      <x:c r="L188" s="70"/>
      <x:c r="M188" s="70"/>
      <x:c r="N188" s="70"/>
      <x:c r="O188" s="70"/>
      <x:c r="P188" s="28"/>
      <x:c r="Q188" s="70"/>
      <x:c r="R188" s="28"/>
      <x:c r="S188" s="28"/>
      <x:c r="T188" s="60" t="str">
        <x:f>IF(COUNTA(A188:D188)+COUNTA(G188:S188)=0,"",IF(OR(A188="",B188="",C188="",D188="",G188="",H188="",J188="",R188=""),"缺少必填项",IF(COUNTIF($A$4:$A$203,A188)&gt;1,"全局队伍ID重复",IF(COUNTIF('学校信息'!$A$4:$A$53,B188)=0,"学校ID不存在",IF(COUNTIFS($B$4:$B$203,B188,$G$4:$G$203,G188,$R$4:$R$203,"启用")&gt;1,"同校Hydro UID重复","通过")))))</x:f>
      </x:c>
    </x:row>
    <x:row r="189" ht="22" customHeight="1">
      <x:c r="A189" s="70"/>
      <x:c r="B189" s="70"/>
      <x:c r="C189" s="70"/>
      <x:c r="D189" s="70"/>
      <x:c r="E189" s="71" t="str">
        <x:f>IFERROR(INDEX('学校信息'!$F$4:$F$53,MATCH(B189,'学校信息'!$A$4:$A$53,0)),"")</x:f>
      </x:c>
      <x:c r="F189" s="71" t="str">
        <x:f>IFERROR(INDEX('学校信息'!$G$4:$G$53,MATCH(B189,'学校信息'!$A$4:$A$53,0)),"")</x:f>
      </x:c>
      <x:c r="G189" s="75"/>
      <x:c r="H189" s="70"/>
      <x:c r="I189" s="70"/>
      <x:c r="J189" s="28"/>
      <x:c r="K189" s="70"/>
      <x:c r="L189" s="70"/>
      <x:c r="M189" s="70"/>
      <x:c r="N189" s="70"/>
      <x:c r="O189" s="70"/>
      <x:c r="P189" s="28"/>
      <x:c r="Q189" s="70"/>
      <x:c r="R189" s="28"/>
      <x:c r="S189" s="28"/>
      <x:c r="T189" s="60" t="str">
        <x:f>IF(COUNTA(A189:D189)+COUNTA(G189:S189)=0,"",IF(OR(A189="",B189="",C189="",D189="",G189="",H189="",J189="",R189=""),"缺少必填项",IF(COUNTIF($A$4:$A$203,A189)&gt;1,"全局队伍ID重复",IF(COUNTIF('学校信息'!$A$4:$A$53,B189)=0,"学校ID不存在",IF(COUNTIFS($B$4:$B$203,B189,$G$4:$G$203,G189,$R$4:$R$203,"启用")&gt;1,"同校Hydro UID重复","通过")))))</x:f>
      </x:c>
    </x:row>
    <x:row r="190" ht="22" customHeight="1">
      <x:c r="A190" s="70"/>
      <x:c r="B190" s="70"/>
      <x:c r="C190" s="70"/>
      <x:c r="D190" s="70"/>
      <x:c r="E190" s="71" t="str">
        <x:f>IFERROR(INDEX('学校信息'!$F$4:$F$53,MATCH(B190,'学校信息'!$A$4:$A$53,0)),"")</x:f>
      </x:c>
      <x:c r="F190" s="71" t="str">
        <x:f>IFERROR(INDEX('学校信息'!$G$4:$G$53,MATCH(B190,'学校信息'!$A$4:$A$53,0)),"")</x:f>
      </x:c>
      <x:c r="G190" s="75"/>
      <x:c r="H190" s="70"/>
      <x:c r="I190" s="70"/>
      <x:c r="J190" s="28"/>
      <x:c r="K190" s="70"/>
      <x:c r="L190" s="70"/>
      <x:c r="M190" s="70"/>
      <x:c r="N190" s="70"/>
      <x:c r="O190" s="70"/>
      <x:c r="P190" s="28"/>
      <x:c r="Q190" s="70"/>
      <x:c r="R190" s="28"/>
      <x:c r="S190" s="28"/>
      <x:c r="T190" s="60" t="str">
        <x:f>IF(COUNTA(A190:D190)+COUNTA(G190:S190)=0,"",IF(OR(A190="",B190="",C190="",D190="",G190="",H190="",J190="",R190=""),"缺少必填项",IF(COUNTIF($A$4:$A$203,A190)&gt;1,"全局队伍ID重复",IF(COUNTIF('学校信息'!$A$4:$A$53,B190)=0,"学校ID不存在",IF(COUNTIFS($B$4:$B$203,B190,$G$4:$G$203,G190,$R$4:$R$203,"启用")&gt;1,"同校Hydro UID重复","通过")))))</x:f>
      </x:c>
    </x:row>
    <x:row r="191" ht="22" customHeight="1">
      <x:c r="A191" s="70"/>
      <x:c r="B191" s="70"/>
      <x:c r="C191" s="70"/>
      <x:c r="D191" s="70"/>
      <x:c r="E191" s="71" t="str">
        <x:f>IFERROR(INDEX('学校信息'!$F$4:$F$53,MATCH(B191,'学校信息'!$A$4:$A$53,0)),"")</x:f>
      </x:c>
      <x:c r="F191" s="71" t="str">
        <x:f>IFERROR(INDEX('学校信息'!$G$4:$G$53,MATCH(B191,'学校信息'!$A$4:$A$53,0)),"")</x:f>
      </x:c>
      <x:c r="G191" s="75"/>
      <x:c r="H191" s="70"/>
      <x:c r="I191" s="70"/>
      <x:c r="J191" s="28"/>
      <x:c r="K191" s="70"/>
      <x:c r="L191" s="70"/>
      <x:c r="M191" s="70"/>
      <x:c r="N191" s="70"/>
      <x:c r="O191" s="70"/>
      <x:c r="P191" s="28"/>
      <x:c r="Q191" s="70"/>
      <x:c r="R191" s="28"/>
      <x:c r="S191" s="28"/>
      <x:c r="T191" s="60" t="str">
        <x:f>IF(COUNTA(A191:D191)+COUNTA(G191:S191)=0,"",IF(OR(A191="",B191="",C191="",D191="",G191="",H191="",J191="",R191=""),"缺少必填项",IF(COUNTIF($A$4:$A$203,A191)&gt;1,"全局队伍ID重复",IF(COUNTIF('学校信息'!$A$4:$A$53,B191)=0,"学校ID不存在",IF(COUNTIFS($B$4:$B$203,B191,$G$4:$G$203,G191,$R$4:$R$203,"启用")&gt;1,"同校Hydro UID重复","通过")))))</x:f>
      </x:c>
    </x:row>
    <x:row r="192" ht="22" customHeight="1">
      <x:c r="A192" s="70"/>
      <x:c r="B192" s="70"/>
      <x:c r="C192" s="70"/>
      <x:c r="D192" s="70"/>
      <x:c r="E192" s="71" t="str">
        <x:f>IFERROR(INDEX('学校信息'!$F$4:$F$53,MATCH(B192,'学校信息'!$A$4:$A$53,0)),"")</x:f>
      </x:c>
      <x:c r="F192" s="71" t="str">
        <x:f>IFERROR(INDEX('学校信息'!$G$4:$G$53,MATCH(B192,'学校信息'!$A$4:$A$53,0)),"")</x:f>
      </x:c>
      <x:c r="G192" s="75"/>
      <x:c r="H192" s="70"/>
      <x:c r="I192" s="70"/>
      <x:c r="J192" s="28"/>
      <x:c r="K192" s="70"/>
      <x:c r="L192" s="70"/>
      <x:c r="M192" s="70"/>
      <x:c r="N192" s="70"/>
      <x:c r="O192" s="70"/>
      <x:c r="P192" s="28"/>
      <x:c r="Q192" s="70"/>
      <x:c r="R192" s="28"/>
      <x:c r="S192" s="28"/>
      <x:c r="T192" s="60" t="str">
        <x:f>IF(COUNTA(A192:D192)+COUNTA(G192:S192)=0,"",IF(OR(A192="",B192="",C192="",D192="",G192="",H192="",J192="",R192=""),"缺少必填项",IF(COUNTIF($A$4:$A$203,A192)&gt;1,"全局队伍ID重复",IF(COUNTIF('学校信息'!$A$4:$A$53,B192)=0,"学校ID不存在",IF(COUNTIFS($B$4:$B$203,B192,$G$4:$G$203,G192,$R$4:$R$203,"启用")&gt;1,"同校Hydro UID重复","通过")))))</x:f>
      </x:c>
    </x:row>
    <x:row r="193" ht="22" customHeight="1">
      <x:c r="A193" s="70"/>
      <x:c r="B193" s="70"/>
      <x:c r="C193" s="70"/>
      <x:c r="D193" s="70"/>
      <x:c r="E193" s="71" t="str">
        <x:f>IFERROR(INDEX('学校信息'!$F$4:$F$53,MATCH(B193,'学校信息'!$A$4:$A$53,0)),"")</x:f>
      </x:c>
      <x:c r="F193" s="71" t="str">
        <x:f>IFERROR(INDEX('学校信息'!$G$4:$G$53,MATCH(B193,'学校信息'!$A$4:$A$53,0)),"")</x:f>
      </x:c>
      <x:c r="G193" s="75"/>
      <x:c r="H193" s="70"/>
      <x:c r="I193" s="70"/>
      <x:c r="J193" s="28"/>
      <x:c r="K193" s="70"/>
      <x:c r="L193" s="70"/>
      <x:c r="M193" s="70"/>
      <x:c r="N193" s="70"/>
      <x:c r="O193" s="70"/>
      <x:c r="P193" s="28"/>
      <x:c r="Q193" s="70"/>
      <x:c r="R193" s="28"/>
      <x:c r="S193" s="28"/>
      <x:c r="T193" s="60" t="str">
        <x:f>IF(COUNTA(A193:D193)+COUNTA(G193:S193)=0,"",IF(OR(A193="",B193="",C193="",D193="",G193="",H193="",J193="",R193=""),"缺少必填项",IF(COUNTIF($A$4:$A$203,A193)&gt;1,"全局队伍ID重复",IF(COUNTIF('学校信息'!$A$4:$A$53,B193)=0,"学校ID不存在",IF(COUNTIFS($B$4:$B$203,B193,$G$4:$G$203,G193,$R$4:$R$203,"启用")&gt;1,"同校Hydro UID重复","通过")))))</x:f>
      </x:c>
    </x:row>
    <x:row r="194" ht="22" customHeight="1">
      <x:c r="A194" s="70"/>
      <x:c r="B194" s="70"/>
      <x:c r="C194" s="70"/>
      <x:c r="D194" s="70"/>
      <x:c r="E194" s="71" t="str">
        <x:f>IFERROR(INDEX('学校信息'!$F$4:$F$53,MATCH(B194,'学校信息'!$A$4:$A$53,0)),"")</x:f>
      </x:c>
      <x:c r="F194" s="71" t="str">
        <x:f>IFERROR(INDEX('学校信息'!$G$4:$G$53,MATCH(B194,'学校信息'!$A$4:$A$53,0)),"")</x:f>
      </x:c>
      <x:c r="G194" s="75"/>
      <x:c r="H194" s="70"/>
      <x:c r="I194" s="70"/>
      <x:c r="J194" s="28"/>
      <x:c r="K194" s="70"/>
      <x:c r="L194" s="70"/>
      <x:c r="M194" s="70"/>
      <x:c r="N194" s="70"/>
      <x:c r="O194" s="70"/>
      <x:c r="P194" s="28"/>
      <x:c r="Q194" s="70"/>
      <x:c r="R194" s="28"/>
      <x:c r="S194" s="28"/>
      <x:c r="T194" s="60" t="str">
        <x:f>IF(COUNTA(A194:D194)+COUNTA(G194:S194)=0,"",IF(OR(A194="",B194="",C194="",D194="",G194="",H194="",J194="",R194=""),"缺少必填项",IF(COUNTIF($A$4:$A$203,A194)&gt;1,"全局队伍ID重复",IF(COUNTIF('学校信息'!$A$4:$A$53,B194)=0,"学校ID不存在",IF(COUNTIFS($B$4:$B$203,B194,$G$4:$G$203,G194,$R$4:$R$203,"启用")&gt;1,"同校Hydro UID重复","通过")))))</x:f>
      </x:c>
    </x:row>
    <x:row r="195" ht="22" customHeight="1">
      <x:c r="A195" s="70"/>
      <x:c r="B195" s="70"/>
      <x:c r="C195" s="70"/>
      <x:c r="D195" s="70"/>
      <x:c r="E195" s="71" t="str">
        <x:f>IFERROR(INDEX('学校信息'!$F$4:$F$53,MATCH(B195,'学校信息'!$A$4:$A$53,0)),"")</x:f>
      </x:c>
      <x:c r="F195" s="71" t="str">
        <x:f>IFERROR(INDEX('学校信息'!$G$4:$G$53,MATCH(B195,'学校信息'!$A$4:$A$53,0)),"")</x:f>
      </x:c>
      <x:c r="G195" s="75"/>
      <x:c r="H195" s="70"/>
      <x:c r="I195" s="70"/>
      <x:c r="J195" s="28"/>
      <x:c r="K195" s="70"/>
      <x:c r="L195" s="70"/>
      <x:c r="M195" s="70"/>
      <x:c r="N195" s="70"/>
      <x:c r="O195" s="70"/>
      <x:c r="P195" s="28"/>
      <x:c r="Q195" s="70"/>
      <x:c r="R195" s="28"/>
      <x:c r="S195" s="28"/>
      <x:c r="T195" s="60" t="str">
        <x:f>IF(COUNTA(A195:D195)+COUNTA(G195:S195)=0,"",IF(OR(A195="",B195="",C195="",D195="",G195="",H195="",J195="",R195=""),"缺少必填项",IF(COUNTIF($A$4:$A$203,A195)&gt;1,"全局队伍ID重复",IF(COUNTIF('学校信息'!$A$4:$A$53,B195)=0,"学校ID不存在",IF(COUNTIFS($B$4:$B$203,B195,$G$4:$G$203,G195,$R$4:$R$203,"启用")&gt;1,"同校Hydro UID重复","通过")))))</x:f>
      </x:c>
    </x:row>
    <x:row r="196" ht="22" customHeight="1">
      <x:c r="A196" s="70"/>
      <x:c r="B196" s="70"/>
      <x:c r="C196" s="70"/>
      <x:c r="D196" s="70"/>
      <x:c r="E196" s="71" t="str">
        <x:f>IFERROR(INDEX('学校信息'!$F$4:$F$53,MATCH(B196,'学校信息'!$A$4:$A$53,0)),"")</x:f>
      </x:c>
      <x:c r="F196" s="71" t="str">
        <x:f>IFERROR(INDEX('学校信息'!$G$4:$G$53,MATCH(B196,'学校信息'!$A$4:$A$53,0)),"")</x:f>
      </x:c>
      <x:c r="G196" s="75"/>
      <x:c r="H196" s="70"/>
      <x:c r="I196" s="70"/>
      <x:c r="J196" s="28"/>
      <x:c r="K196" s="70"/>
      <x:c r="L196" s="70"/>
      <x:c r="M196" s="70"/>
      <x:c r="N196" s="70"/>
      <x:c r="O196" s="70"/>
      <x:c r="P196" s="28"/>
      <x:c r="Q196" s="70"/>
      <x:c r="R196" s="28"/>
      <x:c r="S196" s="28"/>
      <x:c r="T196" s="60" t="str">
        <x:f>IF(COUNTA(A196:D196)+COUNTA(G196:S196)=0,"",IF(OR(A196="",B196="",C196="",D196="",G196="",H196="",J196="",R196=""),"缺少必填项",IF(COUNTIF($A$4:$A$203,A196)&gt;1,"全局队伍ID重复",IF(COUNTIF('学校信息'!$A$4:$A$53,B196)=0,"学校ID不存在",IF(COUNTIFS($B$4:$B$203,B196,$G$4:$G$203,G196,$R$4:$R$203,"启用")&gt;1,"同校Hydro UID重复","通过")))))</x:f>
      </x:c>
    </x:row>
    <x:row r="197" ht="22" customHeight="1">
      <x:c r="A197" s="70"/>
      <x:c r="B197" s="70"/>
      <x:c r="C197" s="70"/>
      <x:c r="D197" s="70"/>
      <x:c r="E197" s="71" t="str">
        <x:f>IFERROR(INDEX('学校信息'!$F$4:$F$53,MATCH(B197,'学校信息'!$A$4:$A$53,0)),"")</x:f>
      </x:c>
      <x:c r="F197" s="71" t="str">
        <x:f>IFERROR(INDEX('学校信息'!$G$4:$G$53,MATCH(B197,'学校信息'!$A$4:$A$53,0)),"")</x:f>
      </x:c>
      <x:c r="G197" s="75"/>
      <x:c r="H197" s="70"/>
      <x:c r="I197" s="70"/>
      <x:c r="J197" s="28"/>
      <x:c r="K197" s="70"/>
      <x:c r="L197" s="70"/>
      <x:c r="M197" s="70"/>
      <x:c r="N197" s="70"/>
      <x:c r="O197" s="70"/>
      <x:c r="P197" s="28"/>
      <x:c r="Q197" s="70"/>
      <x:c r="R197" s="28"/>
      <x:c r="S197" s="28"/>
      <x:c r="T197" s="60" t="str">
        <x:f>IF(COUNTA(A197:D197)+COUNTA(G197:S197)=0,"",IF(OR(A197="",B197="",C197="",D197="",G197="",H197="",J197="",R197=""),"缺少必填项",IF(COUNTIF($A$4:$A$203,A197)&gt;1,"全局队伍ID重复",IF(COUNTIF('学校信息'!$A$4:$A$53,B197)=0,"学校ID不存在",IF(COUNTIFS($B$4:$B$203,B197,$G$4:$G$203,G197,$R$4:$R$203,"启用")&gt;1,"同校Hydro UID重复","通过")))))</x:f>
      </x:c>
    </x:row>
    <x:row r="198" ht="22" customHeight="1">
      <x:c r="A198" s="70"/>
      <x:c r="B198" s="70"/>
      <x:c r="C198" s="70"/>
      <x:c r="D198" s="70"/>
      <x:c r="E198" s="71" t="str">
        <x:f>IFERROR(INDEX('学校信息'!$F$4:$F$53,MATCH(B198,'学校信息'!$A$4:$A$53,0)),"")</x:f>
      </x:c>
      <x:c r="F198" s="71" t="str">
        <x:f>IFERROR(INDEX('学校信息'!$G$4:$G$53,MATCH(B198,'学校信息'!$A$4:$A$53,0)),"")</x:f>
      </x:c>
      <x:c r="G198" s="75"/>
      <x:c r="H198" s="70"/>
      <x:c r="I198" s="70"/>
      <x:c r="J198" s="28"/>
      <x:c r="K198" s="70"/>
      <x:c r="L198" s="70"/>
      <x:c r="M198" s="70"/>
      <x:c r="N198" s="70"/>
      <x:c r="O198" s="70"/>
      <x:c r="P198" s="28"/>
      <x:c r="Q198" s="70"/>
      <x:c r="R198" s="28"/>
      <x:c r="S198" s="28"/>
      <x:c r="T198" s="60" t="str">
        <x:f>IF(COUNTA(A198:D198)+COUNTA(G198:S198)=0,"",IF(OR(A198="",B198="",C198="",D198="",G198="",H198="",J198="",R198=""),"缺少必填项",IF(COUNTIF($A$4:$A$203,A198)&gt;1,"全局队伍ID重复",IF(COUNTIF('学校信息'!$A$4:$A$53,B198)=0,"学校ID不存在",IF(COUNTIFS($B$4:$B$203,B198,$G$4:$G$203,G198,$R$4:$R$203,"启用")&gt;1,"同校Hydro UID重复","通过")))))</x:f>
      </x:c>
    </x:row>
    <x:row r="199" ht="22" customHeight="1">
      <x:c r="A199" s="70"/>
      <x:c r="B199" s="70"/>
      <x:c r="C199" s="70"/>
      <x:c r="D199" s="70"/>
      <x:c r="E199" s="71" t="str">
        <x:f>IFERROR(INDEX('学校信息'!$F$4:$F$53,MATCH(B199,'学校信息'!$A$4:$A$53,0)),"")</x:f>
      </x:c>
      <x:c r="F199" s="71" t="str">
        <x:f>IFERROR(INDEX('学校信息'!$G$4:$G$53,MATCH(B199,'学校信息'!$A$4:$A$53,0)),"")</x:f>
      </x:c>
      <x:c r="G199" s="75"/>
      <x:c r="H199" s="70"/>
      <x:c r="I199" s="70"/>
      <x:c r="J199" s="28"/>
      <x:c r="K199" s="70"/>
      <x:c r="L199" s="70"/>
      <x:c r="M199" s="70"/>
      <x:c r="N199" s="70"/>
      <x:c r="O199" s="70"/>
      <x:c r="P199" s="28"/>
      <x:c r="Q199" s="70"/>
      <x:c r="R199" s="28"/>
      <x:c r="S199" s="28"/>
      <x:c r="T199" s="60" t="str">
        <x:f>IF(COUNTA(A199:D199)+COUNTA(G199:S199)=0,"",IF(OR(A199="",B199="",C199="",D199="",G199="",H199="",J199="",R199=""),"缺少必填项",IF(COUNTIF($A$4:$A$203,A199)&gt;1,"全局队伍ID重复",IF(COUNTIF('学校信息'!$A$4:$A$53,B199)=0,"学校ID不存在",IF(COUNTIFS($B$4:$B$203,B199,$G$4:$G$203,G199,$R$4:$R$203,"启用")&gt;1,"同校Hydro UID重复","通过")))))</x:f>
      </x:c>
    </x:row>
    <x:row r="200" ht="22" customHeight="1">
      <x:c r="A200" s="70"/>
      <x:c r="B200" s="70"/>
      <x:c r="C200" s="70"/>
      <x:c r="D200" s="70"/>
      <x:c r="E200" s="71" t="str">
        <x:f>IFERROR(INDEX('学校信息'!$F$4:$F$53,MATCH(B200,'学校信息'!$A$4:$A$53,0)),"")</x:f>
      </x:c>
      <x:c r="F200" s="71" t="str">
        <x:f>IFERROR(INDEX('学校信息'!$G$4:$G$53,MATCH(B200,'学校信息'!$A$4:$A$53,0)),"")</x:f>
      </x:c>
      <x:c r="G200" s="75"/>
      <x:c r="H200" s="70"/>
      <x:c r="I200" s="70"/>
      <x:c r="J200" s="28"/>
      <x:c r="K200" s="70"/>
      <x:c r="L200" s="70"/>
      <x:c r="M200" s="70"/>
      <x:c r="N200" s="70"/>
      <x:c r="O200" s="70"/>
      <x:c r="P200" s="28"/>
      <x:c r="Q200" s="70"/>
      <x:c r="R200" s="28"/>
      <x:c r="S200" s="28"/>
      <x:c r="T200" s="60" t="str">
        <x:f>IF(COUNTA(A200:D200)+COUNTA(G200:S200)=0,"",IF(OR(A200="",B200="",C200="",D200="",G200="",H200="",J200="",R200=""),"缺少必填项",IF(COUNTIF($A$4:$A$203,A200)&gt;1,"全局队伍ID重复",IF(COUNTIF('学校信息'!$A$4:$A$53,B200)=0,"学校ID不存在",IF(COUNTIFS($B$4:$B$203,B200,$G$4:$G$203,G200,$R$4:$R$203,"启用")&gt;1,"同校Hydro UID重复","通过")))))</x:f>
      </x:c>
    </x:row>
    <x:row r="201" ht="22" customHeight="1">
      <x:c r="A201" s="70"/>
      <x:c r="B201" s="70"/>
      <x:c r="C201" s="70"/>
      <x:c r="D201" s="70"/>
      <x:c r="E201" s="71" t="str">
        <x:f>IFERROR(INDEX('学校信息'!$F$4:$F$53,MATCH(B201,'学校信息'!$A$4:$A$53,0)),"")</x:f>
      </x:c>
      <x:c r="F201" s="71" t="str">
        <x:f>IFERROR(INDEX('学校信息'!$G$4:$G$53,MATCH(B201,'学校信息'!$A$4:$A$53,0)),"")</x:f>
      </x:c>
      <x:c r="G201" s="75"/>
      <x:c r="H201" s="70"/>
      <x:c r="I201" s="70"/>
      <x:c r="J201" s="28"/>
      <x:c r="K201" s="70"/>
      <x:c r="L201" s="70"/>
      <x:c r="M201" s="70"/>
      <x:c r="N201" s="70"/>
      <x:c r="O201" s="70"/>
      <x:c r="P201" s="28"/>
      <x:c r="Q201" s="70"/>
      <x:c r="R201" s="28"/>
      <x:c r="S201" s="28"/>
      <x:c r="T201" s="60" t="str">
        <x:f>IF(COUNTA(A201:D201)+COUNTA(G201:S201)=0,"",IF(OR(A201="",B201="",C201="",D201="",G201="",H201="",J201="",R201=""),"缺少必填项",IF(COUNTIF($A$4:$A$203,A201)&gt;1,"全局队伍ID重复",IF(COUNTIF('学校信息'!$A$4:$A$53,B201)=0,"学校ID不存在",IF(COUNTIFS($B$4:$B$203,B201,$G$4:$G$203,G201,$R$4:$R$203,"启用")&gt;1,"同校Hydro UID重复","通过")))))</x:f>
      </x:c>
    </x:row>
    <x:row r="202" ht="22" customHeight="1">
      <x:c r="A202" s="70"/>
      <x:c r="B202" s="70"/>
      <x:c r="C202" s="70"/>
      <x:c r="D202" s="70"/>
      <x:c r="E202" s="71" t="str">
        <x:f>IFERROR(INDEX('学校信息'!$F$4:$F$53,MATCH(B202,'学校信息'!$A$4:$A$53,0)),"")</x:f>
      </x:c>
      <x:c r="F202" s="71" t="str">
        <x:f>IFERROR(INDEX('学校信息'!$G$4:$G$53,MATCH(B202,'学校信息'!$A$4:$A$53,0)),"")</x:f>
      </x:c>
      <x:c r="G202" s="75"/>
      <x:c r="H202" s="70"/>
      <x:c r="I202" s="70"/>
      <x:c r="J202" s="28"/>
      <x:c r="K202" s="70"/>
      <x:c r="L202" s="70"/>
      <x:c r="M202" s="70"/>
      <x:c r="N202" s="70"/>
      <x:c r="O202" s="70"/>
      <x:c r="P202" s="28"/>
      <x:c r="Q202" s="70"/>
      <x:c r="R202" s="28"/>
      <x:c r="S202" s="28"/>
      <x:c r="T202" s="60" t="str">
        <x:f>IF(COUNTA(A202:D202)+COUNTA(G202:S202)=0,"",IF(OR(A202="",B202="",C202="",D202="",G202="",H202="",J202="",R202=""),"缺少必填项",IF(COUNTIF($A$4:$A$203,A202)&gt;1,"全局队伍ID重复",IF(COUNTIF('学校信息'!$A$4:$A$53,B202)=0,"学校ID不存在",IF(COUNTIFS($B$4:$B$203,B202,$G$4:$G$203,G202,$R$4:$R$203,"启用")&gt;1,"同校Hydro UID重复","通过")))))</x:f>
      </x:c>
    </x:row>
    <x:row r="203" ht="22" customHeight="1">
      <x:c r="A203" s="72"/>
      <x:c r="B203" s="72"/>
      <x:c r="C203" s="72"/>
      <x:c r="D203" s="72"/>
      <x:c r="E203" s="73" t="str">
        <x:f>IFERROR(INDEX('学校信息'!$F$4:$F$53,MATCH(B203,'学校信息'!$A$4:$A$53,0)),"")</x:f>
      </x:c>
      <x:c r="F203" s="73" t="str">
        <x:f>IFERROR(INDEX('学校信息'!$G$4:$G$53,MATCH(B203,'学校信息'!$A$4:$A$53,0)),"")</x:f>
      </x:c>
      <x:c r="G203" s="76"/>
      <x:c r="H203" s="72"/>
      <x:c r="I203" s="72"/>
      <x:c r="J203" s="29"/>
      <x:c r="K203" s="72"/>
      <x:c r="L203" s="72"/>
      <x:c r="M203" s="72"/>
      <x:c r="N203" s="72"/>
      <x:c r="O203" s="72"/>
      <x:c r="P203" s="29"/>
      <x:c r="Q203" s="72"/>
      <x:c r="R203" s="29"/>
      <x:c r="S203" s="29"/>
      <x:c r="T203" s="61" t="str">
        <x:f>IF(COUNTA(A203:D203)+COUNTA(G203:S203)=0,"",IF(OR(A203="",B203="",C203="",D203="",G203="",H203="",J203="",R203=""),"缺少必填项",IF(COUNTIF($A$4:$A$203,A203)&gt;1,"全局队伍ID重复",IF(COUNTIF('学校信息'!$A$4:$A$53,B203)=0,"学校ID不存在",IF(COUNTIFS($B$4:$B$203,B203,$G$4:$G$203,G203,$R$4:$R$203,"启用")&gt;1,"同校Hydro UID重复","通过")))))</x:f>
      </x:c>
    </x:row>
  </x:sheetData>
  <x:mergeCells>
    <x:mergeCell ref="A1:T1"/>
    <x:mergeCell ref="A2:T2"/>
  </x:mergeCells>
  <x:conditionalFormatting sqref="A4:A203">
    <x:cfRule type="expression" dxfId="4" priority="1">
      <x:formula>AND($A4&lt;&gt;"",COUNTIF($A$4:$A$203,$A4)&gt;1)</x:formula>
    </x:cfRule>
  </x:conditionalFormatting>
  <x:conditionalFormatting sqref="T4:T203">
    <x:cfRule type="expression" dxfId="5" priority="2">
      <x:formula>$T4="通过"</x:formula>
    </x:cfRule>
    <x:cfRule type="expression" dxfId="6" priority="3">
      <x:formula>AND($T4&lt;&gt;"",$T4&lt;&gt;"通过")</x:formula>
    </x:cfRule>
  </x:conditionalFormatting>
  <x:dataValidations count="3">
    <x:dataValidation type="list" sqref="D4:D203">
      <x:formula1>"正式,打星"</x:formula1>
    </x:dataValidation>
    <x:dataValidation type="list" sqref="R4:R203">
      <x:formula1>"启用,停用"</x:formula1>
    </x:dataValidation>
    <x:dataValidation type="whole" operator="between" sqref="G4:G203">
      <x:formula1>1</x:formula1>
      <x:formula2>2147483647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a2d66ca6ecf4f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14" hidden="0" customWidth="1"/>
    <x:col min="4" max="4" width="2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1" hidden="0" customWidth="1"/>
    <x:col min="10" max="10" width="31" hidden="0" customWidth="1"/>
    <x:col min="11" max="11" width="14" hidden="0" customWidth="1"/>
    <x:col min="12" max="12" width="14" hidden="0" customWidth="1"/>
    <x:col min="13" max="13" width="22" hidden="0" customWidth="1"/>
  </x:cols>
  <x:sheetData>
    <x:row r="1" ht="34" customHeight="1">
      <x:c r="A1" s="4" t="str">
        <x:v>联赛题目与各校 Hydro PID 映射</x:v>
      </x:c>
      <x:c r="B1" s="4" t="str">
        <x:v>联赛题目与各校 Hydro PID 映射</x:v>
      </x:c>
      <x:c r="C1" s="4" t="str">
        <x:v>联赛题目与各校 Hydro PID 映射</x:v>
      </x:c>
      <x:c r="D1" s="4" t="str">
        <x:v>联赛题目与各校 Hydro PID 映射</x:v>
      </x:c>
      <x:c r="E1" s="4" t="str">
        <x:v>联赛题目与各校 Hydro PID 映射</x:v>
      </x:c>
      <x:c r="F1" s="4" t="str">
        <x:v>联赛题目与各校 Hydro PID 映射</x:v>
      </x:c>
      <x:c r="G1" s="4" t="str">
        <x:v>联赛题目与各校 Hydro PID 映射</x:v>
      </x:c>
      <x:c r="H1" s="4" t="str">
        <x:v>联赛题目与各校 Hydro PID 映射</x:v>
      </x:c>
      <x:c r="I1" s="4" t="str">
        <x:v>联赛题目与各校 Hydro PID 映射</x:v>
      </x:c>
      <x:c r="J1" s="4" t="str">
        <x:v>联赛题目与各校 Hydro PID 映射</x:v>
      </x:c>
      <x:c r="K1" s="4" t="str">
        <x:v>联赛题目与各校 Hydro PID 映射</x:v>
      </x:c>
      <x:c r="L1" s="4" t="str">
        <x:v>联赛题目与各校 Hydro PID 映射</x:v>
      </x:c>
      <x:c r="M1" s="4" t="str">
        <x:v>联赛题目与各校 Hydro PID 映射</x:v>
      </x:c>
    </x:row>
    <x:row r="2" ht="34" customHeight="1">
      <x:c r="A2" s="8" t="str">
        <x:v>每个“学校 × 题目”组合填写一行。同校同题号、同校同本地PID均不可重复；题目包、Checker与资源限制用于赛前一致性核验。</x:v>
      </x:c>
      <x:c r="B2" s="8" t="str">
        <x:v>每个“学校 × 题目”组合填写一行。同校同题号、同校同本地PID均不可重复；题目包、Checker与资源限制用于赛前一致性核验。</x:v>
      </x:c>
      <x:c r="C2" s="8" t="str">
        <x:v>每个“学校 × 题目”组合填写一行。同校同题号、同校同本地PID均不可重复；题目包、Checker与资源限制用于赛前一致性核验。</x:v>
      </x:c>
      <x:c r="D2" s="8" t="str">
        <x:v>每个“学校 × 题目”组合填写一行。同校同题号、同校同本地PID均不可重复；题目包、Checker与资源限制用于赛前一致性核验。</x:v>
      </x:c>
      <x:c r="E2" s="8" t="str">
        <x:v>每个“学校 × 题目”组合填写一行。同校同题号、同校同本地PID均不可重复；题目包、Checker与资源限制用于赛前一致性核验。</x:v>
      </x:c>
      <x:c r="F2" s="8" t="str">
        <x:v>每个“学校 × 题目”组合填写一行。同校同题号、同校同本地PID均不可重复；题目包、Checker与资源限制用于赛前一致性核验。</x:v>
      </x:c>
      <x:c r="G2" s="8" t="str">
        <x:v>每个“学校 × 题目”组合填写一行。同校同题号、同校同本地PID均不可重复；题目包、Checker与资源限制用于赛前一致性核验。</x:v>
      </x:c>
      <x:c r="H2" s="8" t="str">
        <x:v>每个“学校 × 题目”组合填写一行。同校同题号、同校同本地PID均不可重复；题目包、Checker与资源限制用于赛前一致性核验。</x:v>
      </x:c>
      <x:c r="I2" s="8" t="str">
        <x:v>每个“学校 × 题目”组合填写一行。同校同题号、同校同本地PID均不可重复；题目包、Checker与资源限制用于赛前一致性核验。</x:v>
      </x:c>
      <x:c r="J2" s="8" t="str">
        <x:v>每个“学校 × 题目”组合填写一行。同校同题号、同校同本地PID均不可重复；题目包、Checker与资源限制用于赛前一致性核验。</x:v>
      </x:c>
      <x:c r="K2" s="8" t="str">
        <x:v>每个“学校 × 题目”组合填写一行。同校同题号、同校同本地PID均不可重复；题目包、Checker与资源限制用于赛前一致性核验。</x:v>
      </x:c>
      <x:c r="L2" s="8" t="str">
        <x:v>每个“学校 × 题目”组合填写一行。同校同题号、同校同本地PID均不可重复；题目包、Checker与资源限制用于赛前一致性核验。</x:v>
      </x:c>
      <x:c r="M2" s="8" t="str">
        <x:v>每个“学校 × 题目”组合填写一行。同校同题号、同校同本地PID均不可重复；题目包、Checker与资源限制用于赛前一致性核验。</x:v>
      </x:c>
    </x:row>
    <x:row r="3" ht="36" customHeight="1">
      <x:c r="A3" s="20" t="str">
        <x:v>全局题目ID*</x:v>
      </x:c>
      <x:c r="B3" s="21" t="str">
        <x:v>题号标签*</x:v>
      </x:c>
      <x:c r="C3" s="21" t="str">
        <x:v>题目顺序*</x:v>
      </x:c>
      <x:c r="D3" s="21" t="str">
        <x:v>题目名称*</x:v>
      </x:c>
      <x:c r="E3" s="21" t="str">
        <x:v>学校ID*</x:v>
      </x:c>
      <x:c r="F3" s="21" t="str">
        <x:v>本地域ID</x:v>
      </x:c>
      <x:c r="G3" s="21" t="str">
        <x:v>本地比赛ID</x:v>
      </x:c>
      <x:c r="H3" s="21" t="str">
        <x:v>本地Hydro PID*</x:v>
      </x:c>
      <x:c r="I3" s="21" t="str">
        <x:v>题目包SHA256*</x:v>
      </x:c>
      <x:c r="J3" s="21" t="str">
        <x:v>Checker SHA256*</x:v>
      </x:c>
      <x:c r="K3" s="21" t="str">
        <x:v>时限(ms)*</x:v>
      </x:c>
      <x:c r="L3" s="21" t="str">
        <x:v>内存(MB)*</x:v>
      </x:c>
      <x:c r="M3" s="22" t="str">
        <x:v>校验结果</x:v>
      </x:c>
    </x:row>
    <x:row r="4" ht="22" customHeight="1">
      <x:c r="A4" s="68"/>
      <x:c r="B4" s="68"/>
      <x:c r="C4" s="27"/>
      <x:c r="D4" s="27"/>
      <x:c r="E4" s="68"/>
      <x:c r="F4" s="69" t="str">
        <x:f>IFERROR(INDEX('学校信息'!$F$4:$F$53,MATCH(E4,'学校信息'!$A$4:$A$53,0)),"")</x:f>
      </x:c>
      <x:c r="G4" s="69" t="str">
        <x:f>IFERROR(INDEX('学校信息'!$G$4:$G$53,MATCH(E4,'学校信息'!$A$4:$A$53,0)),"")</x:f>
      </x:c>
      <x:c r="H4" s="68"/>
      <x:c r="I4" s="68"/>
      <x:c r="J4" s="68"/>
      <x:c r="K4" s="27"/>
      <x:c r="L4" s="27"/>
      <x:c r="M4" s="59" t="str">
        <x:f>IF(COUNTA(A4:E4)+COUNTA(H4:L4)=0,"",IF(OR(A4="",B4="",C4="",D4="",E4="",H4="",I4="",J4="",K4="",L4=""),"缺少必填项",IF(OR(LEN(I4)&lt;&gt;64,LEN(J4)&lt;&gt;64),"SHA256长度应为64",IF(COUNTIF('学校信息'!$A$4:$A$53,E4)=0,"学校ID不存在",IF(COUNTIFS($E$4:$E$503,E4,$A$4:$A$503,A4)&gt;1,"同校全局题目ID重复",IF(COUNTIFS($E$4:$E$503,E4,$H$4:$H$503,H4)&gt;1,"同校本地PID重复",IF(OR(COUNTIFS($A$4:$A$503,A4,$B$4:$B$503,"&lt;&gt;"&amp;B4)&gt;0,COUNTIFS($A$4:$A$503,A4,$C$4:$C$503,"&lt;&gt;"&amp;C4)&gt;0,COUNTIFS($A$4:$A$503,A4,$D$4:$D$503,"&lt;&gt;"&amp;D4)&gt;0,COUNTIFS($A$4:$A$503,A4,$I$4:$I$503,"&lt;&gt;"&amp;I4)&gt;0,COUNTIFS($A$4:$A$503,A4,$J$4:$J$503,"&lt;&gt;"&amp;J4)&gt;0,COUNTIFS($A$4:$A$503,A4,$K$4:$K$503,"&lt;&gt;"&amp;K4)&gt;0,COUNTIFS($A$4:$A$503,A4,$L$4:$L$503,"&lt;&gt;"&amp;L4)&gt;0),"跨校题目配置不一致","通过")))))))</x:f>
      </x:c>
    </x:row>
    <x:row r="5" ht="22" customHeight="1">
      <x:c r="A5" s="70"/>
      <x:c r="B5" s="70"/>
      <x:c r="C5" s="28"/>
      <x:c r="D5" s="28"/>
      <x:c r="E5" s="70"/>
      <x:c r="F5" s="71" t="str">
        <x:f>IFERROR(INDEX('学校信息'!$F$4:$F$53,MATCH(E5,'学校信息'!$A$4:$A$53,0)),"")</x:f>
      </x:c>
      <x:c r="G5" s="71" t="str">
        <x:f>IFERROR(INDEX('学校信息'!$G$4:$G$53,MATCH(E5,'学校信息'!$A$4:$A$53,0)),"")</x:f>
      </x:c>
      <x:c r="H5" s="70"/>
      <x:c r="I5" s="70"/>
      <x:c r="J5" s="70"/>
      <x:c r="K5" s="28"/>
      <x:c r="L5" s="28"/>
      <x:c r="M5" s="60" t="str">
        <x:f>IF(COUNTA(A5:E5)+COUNTA(H5:L5)=0,"",IF(OR(A5="",B5="",C5="",D5="",E5="",H5="",I5="",J5="",K5="",L5=""),"缺少必填项",IF(OR(LEN(I5)&lt;&gt;64,LEN(J5)&lt;&gt;64),"SHA257长度应为64",IF(COUNTIF('学校信息'!$A$4:$A$53,E5)=0,"学校ID不存在",IF(COUNTIFS($E$4:$E$503,E5,$A$4:$A$503,A5)&gt;1,"同校全局题目ID重复",IF(COUNTIFS($E$4:$E$503,E5,$H$4:$H$503,H5)&gt;1,"同校本地PID重复",IF(OR(COUNTIFS($A$4:$A$503,A5,$B$4:$B$503,"&lt;&gt;"&amp;B5)&gt;0,COUNTIFS($A$4:$A$503,A5,$C$4:$C$503,"&lt;&gt;"&amp;C5)&gt;0,COUNTIFS($A$4:$A$503,A5,$D$4:$D$503,"&lt;&gt;"&amp;D5)&gt;0,COUNTIFS($A$4:$A$503,A5,$I$4:$I$503,"&lt;&gt;"&amp;I5)&gt;0,COUNTIFS($A$4:$A$503,A5,$J$4:$J$503,"&lt;&gt;"&amp;J5)&gt;0,COUNTIFS($A$4:$A$503,A5,$K$4:$K$503,"&lt;&gt;"&amp;K5)&gt;0,COUNTIFS($A$4:$A$503,A5,$L$4:$L$503,"&lt;&gt;"&amp;L5)&gt;0),"跨校题目配置不一致","通过")))))))</x:f>
      </x:c>
    </x:row>
    <x:row r="6" ht="22" customHeight="1">
      <x:c r="A6" s="70"/>
      <x:c r="B6" s="70"/>
      <x:c r="C6" s="28"/>
      <x:c r="D6" s="28"/>
      <x:c r="E6" s="70"/>
      <x:c r="F6" s="71" t="str">
        <x:f>IFERROR(INDEX('学校信息'!$F$4:$F$53,MATCH(E6,'学校信息'!$A$4:$A$53,0)),"")</x:f>
      </x:c>
      <x:c r="G6" s="71" t="str">
        <x:f>IFERROR(INDEX('学校信息'!$G$4:$G$53,MATCH(E6,'学校信息'!$A$4:$A$53,0)),"")</x:f>
      </x:c>
      <x:c r="H6" s="70"/>
      <x:c r="I6" s="70"/>
      <x:c r="J6" s="70"/>
      <x:c r="K6" s="28"/>
      <x:c r="L6" s="28"/>
      <x:c r="M6" s="60" t="str">
        <x:f>IF(COUNTA(A6:E6)+COUNTA(H6:L6)=0,"",IF(OR(A6="",B6="",C6="",D6="",E6="",H6="",I6="",J6="",K6="",L6=""),"缺少必填项",IF(OR(LEN(I6)&lt;&gt;64,LEN(J6)&lt;&gt;64),"SHA258长度应为64",IF(COUNTIF('学校信息'!$A$4:$A$53,E6)=0,"学校ID不存在",IF(COUNTIFS($E$4:$E$503,E6,$A$4:$A$503,A6)&gt;1,"同校全局题目ID重复",IF(COUNTIFS($E$4:$E$503,E6,$H$4:$H$503,H6)&gt;1,"同校本地PID重复",IF(OR(COUNTIFS($A$4:$A$503,A6,$B$4:$B$503,"&lt;&gt;"&amp;B6)&gt;0,COUNTIFS($A$4:$A$503,A6,$C$4:$C$503,"&lt;&gt;"&amp;C6)&gt;0,COUNTIFS($A$4:$A$503,A6,$D$4:$D$503,"&lt;&gt;"&amp;D6)&gt;0,COUNTIFS($A$4:$A$503,A6,$I$4:$I$503,"&lt;&gt;"&amp;I6)&gt;0,COUNTIFS($A$4:$A$503,A6,$J$4:$J$503,"&lt;&gt;"&amp;J6)&gt;0,COUNTIFS($A$4:$A$503,A6,$K$4:$K$503,"&lt;&gt;"&amp;K6)&gt;0,COUNTIFS($A$4:$A$503,A6,$L$4:$L$503,"&lt;&gt;"&amp;L6)&gt;0),"跨校题目配置不一致","通过")))))))</x:f>
      </x:c>
    </x:row>
    <x:row r="7" ht="22" customHeight="1">
      <x:c r="A7" s="70"/>
      <x:c r="B7" s="70"/>
      <x:c r="C7" s="28"/>
      <x:c r="D7" s="28"/>
      <x:c r="E7" s="70"/>
      <x:c r="F7" s="71" t="str">
        <x:f>IFERROR(INDEX('学校信息'!$F$4:$F$53,MATCH(E7,'学校信息'!$A$4:$A$53,0)),"")</x:f>
      </x:c>
      <x:c r="G7" s="71" t="str">
        <x:f>IFERROR(INDEX('学校信息'!$G$4:$G$53,MATCH(E7,'学校信息'!$A$4:$A$53,0)),"")</x:f>
      </x:c>
      <x:c r="H7" s="70"/>
      <x:c r="I7" s="70"/>
      <x:c r="J7" s="70"/>
      <x:c r="K7" s="28"/>
      <x:c r="L7" s="28"/>
      <x:c r="M7" s="60" t="str">
        <x:f>IF(COUNTA(A7:E7)+COUNTA(H7:L7)=0,"",IF(OR(A7="",B7="",C7="",D7="",E7="",H7="",I7="",J7="",K7="",L7=""),"缺少必填项",IF(OR(LEN(I7)&lt;&gt;64,LEN(J7)&lt;&gt;64),"SHA259长度应为64",IF(COUNTIF('学校信息'!$A$4:$A$53,E7)=0,"学校ID不存在",IF(COUNTIFS($E$4:$E$503,E7,$A$4:$A$503,A7)&gt;1,"同校全局题目ID重复",IF(COUNTIFS($E$4:$E$503,E7,$H$4:$H$503,H7)&gt;1,"同校本地PID重复",IF(OR(COUNTIFS($A$4:$A$503,A7,$B$4:$B$503,"&lt;&gt;"&amp;B7)&gt;0,COUNTIFS($A$4:$A$503,A7,$C$4:$C$503,"&lt;&gt;"&amp;C7)&gt;0,COUNTIFS($A$4:$A$503,A7,$D$4:$D$503,"&lt;&gt;"&amp;D7)&gt;0,COUNTIFS($A$4:$A$503,A7,$I$4:$I$503,"&lt;&gt;"&amp;I7)&gt;0,COUNTIFS($A$4:$A$503,A7,$J$4:$J$503,"&lt;&gt;"&amp;J7)&gt;0,COUNTIFS($A$4:$A$503,A7,$K$4:$K$503,"&lt;&gt;"&amp;K7)&gt;0,COUNTIFS($A$4:$A$503,A7,$L$4:$L$503,"&lt;&gt;"&amp;L7)&gt;0),"跨校题目配置不一致","通过")))))))</x:f>
      </x:c>
    </x:row>
    <x:row r="8" ht="22" customHeight="1">
      <x:c r="A8" s="70"/>
      <x:c r="B8" s="70"/>
      <x:c r="C8" s="28"/>
      <x:c r="D8" s="28"/>
      <x:c r="E8" s="70"/>
      <x:c r="F8" s="71" t="str">
        <x:f>IFERROR(INDEX('学校信息'!$F$4:$F$53,MATCH(E8,'学校信息'!$A$4:$A$53,0)),"")</x:f>
      </x:c>
      <x:c r="G8" s="71" t="str">
        <x:f>IFERROR(INDEX('学校信息'!$G$4:$G$53,MATCH(E8,'学校信息'!$A$4:$A$53,0)),"")</x:f>
      </x:c>
      <x:c r="H8" s="70"/>
      <x:c r="I8" s="70"/>
      <x:c r="J8" s="70"/>
      <x:c r="K8" s="28"/>
      <x:c r="L8" s="28"/>
      <x:c r="M8" s="60" t="str">
        <x:f>IF(COUNTA(A8:E8)+COUNTA(H8:L8)=0,"",IF(OR(A8="",B8="",C8="",D8="",E8="",H8="",I8="",J8="",K8="",L8=""),"缺少必填项",IF(OR(LEN(I8)&lt;&gt;64,LEN(J8)&lt;&gt;64),"SHA260长度应为64",IF(COUNTIF('学校信息'!$A$4:$A$53,E8)=0,"学校ID不存在",IF(COUNTIFS($E$4:$E$503,E8,$A$4:$A$503,A8)&gt;1,"同校全局题目ID重复",IF(COUNTIFS($E$4:$E$503,E8,$H$4:$H$503,H8)&gt;1,"同校本地PID重复",IF(OR(COUNTIFS($A$4:$A$503,A8,$B$4:$B$503,"&lt;&gt;"&amp;B8)&gt;0,COUNTIFS($A$4:$A$503,A8,$C$4:$C$503,"&lt;&gt;"&amp;C8)&gt;0,COUNTIFS($A$4:$A$503,A8,$D$4:$D$503,"&lt;&gt;"&amp;D8)&gt;0,COUNTIFS($A$4:$A$503,A8,$I$4:$I$503,"&lt;&gt;"&amp;I8)&gt;0,COUNTIFS($A$4:$A$503,A8,$J$4:$J$503,"&lt;&gt;"&amp;J8)&gt;0,COUNTIFS($A$4:$A$503,A8,$K$4:$K$503,"&lt;&gt;"&amp;K8)&gt;0,COUNTIFS($A$4:$A$503,A8,$L$4:$L$503,"&lt;&gt;"&amp;L8)&gt;0),"跨校题目配置不一致","通过")))))))</x:f>
      </x:c>
    </x:row>
    <x:row r="9" ht="22" customHeight="1">
      <x:c r="A9" s="70"/>
      <x:c r="B9" s="70"/>
      <x:c r="C9" s="28"/>
      <x:c r="D9" s="28"/>
      <x:c r="E9" s="70"/>
      <x:c r="F9" s="71" t="str">
        <x:f>IFERROR(INDEX('学校信息'!$F$4:$F$53,MATCH(E9,'学校信息'!$A$4:$A$53,0)),"")</x:f>
      </x:c>
      <x:c r="G9" s="71" t="str">
        <x:f>IFERROR(INDEX('学校信息'!$G$4:$G$53,MATCH(E9,'学校信息'!$A$4:$A$53,0)),"")</x:f>
      </x:c>
      <x:c r="H9" s="70"/>
      <x:c r="I9" s="70"/>
      <x:c r="J9" s="70"/>
      <x:c r="K9" s="28"/>
      <x:c r="L9" s="28"/>
      <x:c r="M9" s="60" t="str">
        <x:f>IF(COUNTA(A9:E9)+COUNTA(H9:L9)=0,"",IF(OR(A9="",B9="",C9="",D9="",E9="",H9="",I9="",J9="",K9="",L9=""),"缺少必填项",IF(OR(LEN(I9)&lt;&gt;64,LEN(J9)&lt;&gt;64),"SHA261长度应为64",IF(COUNTIF('学校信息'!$A$4:$A$53,E9)=0,"学校ID不存在",IF(COUNTIFS($E$4:$E$503,E9,$A$4:$A$503,A9)&gt;1,"同校全局题目ID重复",IF(COUNTIFS($E$4:$E$503,E9,$H$4:$H$503,H9)&gt;1,"同校本地PID重复",IF(OR(COUNTIFS($A$4:$A$503,A9,$B$4:$B$503,"&lt;&gt;"&amp;B9)&gt;0,COUNTIFS($A$4:$A$503,A9,$C$4:$C$503,"&lt;&gt;"&amp;C9)&gt;0,COUNTIFS($A$4:$A$503,A9,$D$4:$D$503,"&lt;&gt;"&amp;D9)&gt;0,COUNTIFS($A$4:$A$503,A9,$I$4:$I$503,"&lt;&gt;"&amp;I9)&gt;0,COUNTIFS($A$4:$A$503,A9,$J$4:$J$503,"&lt;&gt;"&amp;J9)&gt;0,COUNTIFS($A$4:$A$503,A9,$K$4:$K$503,"&lt;&gt;"&amp;K9)&gt;0,COUNTIFS($A$4:$A$503,A9,$L$4:$L$503,"&lt;&gt;"&amp;L9)&gt;0),"跨校题目配置不一致","通过")))))))</x:f>
      </x:c>
    </x:row>
    <x:row r="10" ht="22" customHeight="1">
      <x:c r="A10" s="70"/>
      <x:c r="B10" s="70"/>
      <x:c r="C10" s="28"/>
      <x:c r="D10" s="28"/>
      <x:c r="E10" s="70"/>
      <x:c r="F10" s="71" t="str">
        <x:f>IFERROR(INDEX('学校信息'!$F$4:$F$53,MATCH(E10,'学校信息'!$A$4:$A$53,0)),"")</x:f>
      </x:c>
      <x:c r="G10" s="71" t="str">
        <x:f>IFERROR(INDEX('学校信息'!$G$4:$G$53,MATCH(E10,'学校信息'!$A$4:$A$53,0)),"")</x:f>
      </x:c>
      <x:c r="H10" s="70"/>
      <x:c r="I10" s="70"/>
      <x:c r="J10" s="70"/>
      <x:c r="K10" s="28"/>
      <x:c r="L10" s="28"/>
      <x:c r="M10" s="60" t="str">
        <x:f>IF(COUNTA(A10:E10)+COUNTA(H10:L10)=0,"",IF(OR(A10="",B10="",C10="",D10="",E10="",H10="",I10="",J10="",K10="",L10=""),"缺少必填项",IF(OR(LEN(I10)&lt;&gt;64,LEN(J10)&lt;&gt;64),"SHA262长度应为64",IF(COUNTIF('学校信息'!$A$4:$A$53,E10)=0,"学校ID不存在",IF(COUNTIFS($E$4:$E$503,E10,$A$4:$A$503,A10)&gt;1,"同校全局题目ID重复",IF(COUNTIFS($E$4:$E$503,E10,$H$4:$H$503,H10)&gt;1,"同校本地PID重复",IF(OR(COUNTIFS($A$4:$A$503,A10,$B$4:$B$503,"&lt;&gt;"&amp;B10)&gt;0,COUNTIFS($A$4:$A$503,A10,$C$4:$C$503,"&lt;&gt;"&amp;C10)&gt;0,COUNTIFS($A$4:$A$503,A10,$D$4:$D$503,"&lt;&gt;"&amp;D10)&gt;0,COUNTIFS($A$4:$A$503,A10,$I$4:$I$503,"&lt;&gt;"&amp;I10)&gt;0,COUNTIFS($A$4:$A$503,A10,$J$4:$J$503,"&lt;&gt;"&amp;J10)&gt;0,COUNTIFS($A$4:$A$503,A10,$K$4:$K$503,"&lt;&gt;"&amp;K10)&gt;0,COUNTIFS($A$4:$A$503,A10,$L$4:$L$503,"&lt;&gt;"&amp;L10)&gt;0),"跨校题目配置不一致","通过")))))))</x:f>
      </x:c>
    </x:row>
    <x:row r="11" ht="22" customHeight="1">
      <x:c r="A11" s="70"/>
      <x:c r="B11" s="70"/>
      <x:c r="C11" s="28"/>
      <x:c r="D11" s="28"/>
      <x:c r="E11" s="70"/>
      <x:c r="F11" s="71" t="str">
        <x:f>IFERROR(INDEX('学校信息'!$F$4:$F$53,MATCH(E11,'学校信息'!$A$4:$A$53,0)),"")</x:f>
      </x:c>
      <x:c r="G11" s="71" t="str">
        <x:f>IFERROR(INDEX('学校信息'!$G$4:$G$53,MATCH(E11,'学校信息'!$A$4:$A$53,0)),"")</x:f>
      </x:c>
      <x:c r="H11" s="70"/>
      <x:c r="I11" s="70"/>
      <x:c r="J11" s="70"/>
      <x:c r="K11" s="28"/>
      <x:c r="L11" s="28"/>
      <x:c r="M11" s="60" t="str">
        <x:f>IF(COUNTA(A11:E11)+COUNTA(H11:L11)=0,"",IF(OR(A11="",B11="",C11="",D11="",E11="",H11="",I11="",J11="",K11="",L11=""),"缺少必填项",IF(OR(LEN(I11)&lt;&gt;64,LEN(J11)&lt;&gt;64),"SHA263长度应为64",IF(COUNTIF('学校信息'!$A$4:$A$53,E11)=0,"学校ID不存在",IF(COUNTIFS($E$4:$E$503,E11,$A$4:$A$503,A11)&gt;1,"同校全局题目ID重复",IF(COUNTIFS($E$4:$E$503,E11,$H$4:$H$503,H11)&gt;1,"同校本地PID重复",IF(OR(COUNTIFS($A$4:$A$503,A11,$B$4:$B$503,"&lt;&gt;"&amp;B11)&gt;0,COUNTIFS($A$4:$A$503,A11,$C$4:$C$503,"&lt;&gt;"&amp;C11)&gt;0,COUNTIFS($A$4:$A$503,A11,$D$4:$D$503,"&lt;&gt;"&amp;D11)&gt;0,COUNTIFS($A$4:$A$503,A11,$I$4:$I$503,"&lt;&gt;"&amp;I11)&gt;0,COUNTIFS($A$4:$A$503,A11,$J$4:$J$503,"&lt;&gt;"&amp;J11)&gt;0,COUNTIFS($A$4:$A$503,A11,$K$4:$K$503,"&lt;&gt;"&amp;K11)&gt;0,COUNTIFS($A$4:$A$503,A11,$L$4:$L$503,"&lt;&gt;"&amp;L11)&gt;0),"跨校题目配置不一致","通过")))))))</x:f>
      </x:c>
    </x:row>
    <x:row r="12" ht="22" customHeight="1">
      <x:c r="A12" s="70"/>
      <x:c r="B12" s="70"/>
      <x:c r="C12" s="28"/>
      <x:c r="D12" s="28"/>
      <x:c r="E12" s="70"/>
      <x:c r="F12" s="71" t="str">
        <x:f>IFERROR(INDEX('学校信息'!$F$4:$F$53,MATCH(E12,'学校信息'!$A$4:$A$53,0)),"")</x:f>
      </x:c>
      <x:c r="G12" s="71" t="str">
        <x:f>IFERROR(INDEX('学校信息'!$G$4:$G$53,MATCH(E12,'学校信息'!$A$4:$A$53,0)),"")</x:f>
      </x:c>
      <x:c r="H12" s="70"/>
      <x:c r="I12" s="70"/>
      <x:c r="J12" s="70"/>
      <x:c r="K12" s="28"/>
      <x:c r="L12" s="28"/>
      <x:c r="M12" s="60" t="str">
        <x:f>IF(COUNTA(A12:E12)+COUNTA(H12:L12)=0,"",IF(OR(A12="",B12="",C12="",D12="",E12="",H12="",I12="",J12="",K12="",L12=""),"缺少必填项",IF(OR(LEN(I12)&lt;&gt;64,LEN(J12)&lt;&gt;64),"SHA264长度应为64",IF(COUNTIF('学校信息'!$A$4:$A$53,E12)=0,"学校ID不存在",IF(COUNTIFS($E$4:$E$503,E12,$A$4:$A$503,A12)&gt;1,"同校全局题目ID重复",IF(COUNTIFS($E$4:$E$503,E12,$H$4:$H$503,H12)&gt;1,"同校本地PID重复",IF(OR(COUNTIFS($A$4:$A$503,A12,$B$4:$B$503,"&lt;&gt;"&amp;B12)&gt;0,COUNTIFS($A$4:$A$503,A12,$C$4:$C$503,"&lt;&gt;"&amp;C12)&gt;0,COUNTIFS($A$4:$A$503,A12,$D$4:$D$503,"&lt;&gt;"&amp;D12)&gt;0,COUNTIFS($A$4:$A$503,A12,$I$4:$I$503,"&lt;&gt;"&amp;I12)&gt;0,COUNTIFS($A$4:$A$503,A12,$J$4:$J$503,"&lt;&gt;"&amp;J12)&gt;0,COUNTIFS($A$4:$A$503,A12,$K$4:$K$503,"&lt;&gt;"&amp;K12)&gt;0,COUNTIFS($A$4:$A$503,A12,$L$4:$L$503,"&lt;&gt;"&amp;L12)&gt;0),"跨校题目配置不一致","通过")))))))</x:f>
      </x:c>
    </x:row>
    <x:row r="13" ht="22" customHeight="1">
      <x:c r="A13" s="70"/>
      <x:c r="B13" s="70"/>
      <x:c r="C13" s="28"/>
      <x:c r="D13" s="28"/>
      <x:c r="E13" s="70"/>
      <x:c r="F13" s="71" t="str">
        <x:f>IFERROR(INDEX('学校信息'!$F$4:$F$53,MATCH(E13,'学校信息'!$A$4:$A$53,0)),"")</x:f>
      </x:c>
      <x:c r="G13" s="71" t="str">
        <x:f>IFERROR(INDEX('学校信息'!$G$4:$G$53,MATCH(E13,'学校信息'!$A$4:$A$53,0)),"")</x:f>
      </x:c>
      <x:c r="H13" s="70"/>
      <x:c r="I13" s="70"/>
      <x:c r="J13" s="70"/>
      <x:c r="K13" s="28"/>
      <x:c r="L13" s="28"/>
      <x:c r="M13" s="60" t="str">
        <x:f>IF(COUNTA(A13:E13)+COUNTA(H13:L13)=0,"",IF(OR(A13="",B13="",C13="",D13="",E13="",H13="",I13="",J13="",K13="",L13=""),"缺少必填项",IF(OR(LEN(I13)&lt;&gt;64,LEN(J13)&lt;&gt;64),"SHA265长度应为64",IF(COUNTIF('学校信息'!$A$4:$A$53,E13)=0,"学校ID不存在",IF(COUNTIFS($E$4:$E$503,E13,$A$4:$A$503,A13)&gt;1,"同校全局题目ID重复",IF(COUNTIFS($E$4:$E$503,E13,$H$4:$H$503,H13)&gt;1,"同校本地PID重复",IF(OR(COUNTIFS($A$4:$A$503,A13,$B$4:$B$503,"&lt;&gt;"&amp;B13)&gt;0,COUNTIFS($A$4:$A$503,A13,$C$4:$C$503,"&lt;&gt;"&amp;C13)&gt;0,COUNTIFS($A$4:$A$503,A13,$D$4:$D$503,"&lt;&gt;"&amp;D13)&gt;0,COUNTIFS($A$4:$A$503,A13,$I$4:$I$503,"&lt;&gt;"&amp;I13)&gt;0,COUNTIFS($A$4:$A$503,A13,$J$4:$J$503,"&lt;&gt;"&amp;J13)&gt;0,COUNTIFS($A$4:$A$503,A13,$K$4:$K$503,"&lt;&gt;"&amp;K13)&gt;0,COUNTIFS($A$4:$A$503,A13,$L$4:$L$503,"&lt;&gt;"&amp;L13)&gt;0),"跨校题目配置不一致","通过")))))))</x:f>
      </x:c>
    </x:row>
    <x:row r="14" ht="22" customHeight="1">
      <x:c r="A14" s="70"/>
      <x:c r="B14" s="70"/>
      <x:c r="C14" s="28"/>
      <x:c r="D14" s="28"/>
      <x:c r="E14" s="70"/>
      <x:c r="F14" s="71" t="str">
        <x:f>IFERROR(INDEX('学校信息'!$F$4:$F$53,MATCH(E14,'学校信息'!$A$4:$A$53,0)),"")</x:f>
      </x:c>
      <x:c r="G14" s="71" t="str">
        <x:f>IFERROR(INDEX('学校信息'!$G$4:$G$53,MATCH(E14,'学校信息'!$A$4:$A$53,0)),"")</x:f>
      </x:c>
      <x:c r="H14" s="70"/>
      <x:c r="I14" s="70"/>
      <x:c r="J14" s="70"/>
      <x:c r="K14" s="28"/>
      <x:c r="L14" s="28"/>
      <x:c r="M14" s="60" t="str">
        <x:f>IF(COUNTA(A14:E14)+COUNTA(H14:L14)=0,"",IF(OR(A14="",B14="",C14="",D14="",E14="",H14="",I14="",J14="",K14="",L14=""),"缺少必填项",IF(OR(LEN(I14)&lt;&gt;64,LEN(J14)&lt;&gt;64),"SHA266长度应为64",IF(COUNTIF('学校信息'!$A$4:$A$53,E14)=0,"学校ID不存在",IF(COUNTIFS($E$4:$E$503,E14,$A$4:$A$503,A14)&gt;1,"同校全局题目ID重复",IF(COUNTIFS($E$4:$E$503,E14,$H$4:$H$503,H14)&gt;1,"同校本地PID重复",IF(OR(COUNTIFS($A$4:$A$503,A14,$B$4:$B$503,"&lt;&gt;"&amp;B14)&gt;0,COUNTIFS($A$4:$A$503,A14,$C$4:$C$503,"&lt;&gt;"&amp;C14)&gt;0,COUNTIFS($A$4:$A$503,A14,$D$4:$D$503,"&lt;&gt;"&amp;D14)&gt;0,COUNTIFS($A$4:$A$503,A14,$I$4:$I$503,"&lt;&gt;"&amp;I14)&gt;0,COUNTIFS($A$4:$A$503,A14,$J$4:$J$503,"&lt;&gt;"&amp;J14)&gt;0,COUNTIFS($A$4:$A$503,A14,$K$4:$K$503,"&lt;&gt;"&amp;K14)&gt;0,COUNTIFS($A$4:$A$503,A14,$L$4:$L$503,"&lt;&gt;"&amp;L14)&gt;0),"跨校题目配置不一致","通过")))))))</x:f>
      </x:c>
    </x:row>
    <x:row r="15" ht="22" customHeight="1">
      <x:c r="A15" s="70"/>
      <x:c r="B15" s="70"/>
      <x:c r="C15" s="28"/>
      <x:c r="D15" s="28"/>
      <x:c r="E15" s="70"/>
      <x:c r="F15" s="71" t="str">
        <x:f>IFERROR(INDEX('学校信息'!$F$4:$F$53,MATCH(E15,'学校信息'!$A$4:$A$53,0)),"")</x:f>
      </x:c>
      <x:c r="G15" s="71" t="str">
        <x:f>IFERROR(INDEX('学校信息'!$G$4:$G$53,MATCH(E15,'学校信息'!$A$4:$A$53,0)),"")</x:f>
      </x:c>
      <x:c r="H15" s="70"/>
      <x:c r="I15" s="70"/>
      <x:c r="J15" s="70"/>
      <x:c r="K15" s="28"/>
      <x:c r="L15" s="28"/>
      <x:c r="M15" s="60" t="str">
        <x:f>IF(COUNTA(A15:E15)+COUNTA(H15:L15)=0,"",IF(OR(A15="",B15="",C15="",D15="",E15="",H15="",I15="",J15="",K15="",L15=""),"缺少必填项",IF(OR(LEN(I15)&lt;&gt;64,LEN(J15)&lt;&gt;64),"SHA267长度应为64",IF(COUNTIF('学校信息'!$A$4:$A$53,E15)=0,"学校ID不存在",IF(COUNTIFS($E$4:$E$503,E15,$A$4:$A$503,A15)&gt;1,"同校全局题目ID重复",IF(COUNTIFS($E$4:$E$503,E15,$H$4:$H$503,H15)&gt;1,"同校本地PID重复",IF(OR(COUNTIFS($A$4:$A$503,A15,$B$4:$B$503,"&lt;&gt;"&amp;B15)&gt;0,COUNTIFS($A$4:$A$503,A15,$C$4:$C$503,"&lt;&gt;"&amp;C15)&gt;0,COUNTIFS($A$4:$A$503,A15,$D$4:$D$503,"&lt;&gt;"&amp;D15)&gt;0,COUNTIFS($A$4:$A$503,A15,$I$4:$I$503,"&lt;&gt;"&amp;I15)&gt;0,COUNTIFS($A$4:$A$503,A15,$J$4:$J$503,"&lt;&gt;"&amp;J15)&gt;0,COUNTIFS($A$4:$A$503,A15,$K$4:$K$503,"&lt;&gt;"&amp;K15)&gt;0,COUNTIFS($A$4:$A$503,A15,$L$4:$L$503,"&lt;&gt;"&amp;L15)&gt;0),"跨校题目配置不一致","通过")))))))</x:f>
      </x:c>
    </x:row>
    <x:row r="16" ht="22" customHeight="1">
      <x:c r="A16" s="70"/>
      <x:c r="B16" s="70"/>
      <x:c r="C16" s="28"/>
      <x:c r="D16" s="28"/>
      <x:c r="E16" s="70"/>
      <x:c r="F16" s="71" t="str">
        <x:f>IFERROR(INDEX('学校信息'!$F$4:$F$53,MATCH(E16,'学校信息'!$A$4:$A$53,0)),"")</x:f>
      </x:c>
      <x:c r="G16" s="71" t="str">
        <x:f>IFERROR(INDEX('学校信息'!$G$4:$G$53,MATCH(E16,'学校信息'!$A$4:$A$53,0)),"")</x:f>
      </x:c>
      <x:c r="H16" s="70"/>
      <x:c r="I16" s="70"/>
      <x:c r="J16" s="70"/>
      <x:c r="K16" s="28"/>
      <x:c r="L16" s="28"/>
      <x:c r="M16" s="60" t="str">
        <x:f>IF(COUNTA(A16:E16)+COUNTA(H16:L16)=0,"",IF(OR(A16="",B16="",C16="",D16="",E16="",H16="",I16="",J16="",K16="",L16=""),"缺少必填项",IF(OR(LEN(I16)&lt;&gt;64,LEN(J16)&lt;&gt;64),"SHA268长度应为64",IF(COUNTIF('学校信息'!$A$4:$A$53,E16)=0,"学校ID不存在",IF(COUNTIFS($E$4:$E$503,E16,$A$4:$A$503,A16)&gt;1,"同校全局题目ID重复",IF(COUNTIFS($E$4:$E$503,E16,$H$4:$H$503,H16)&gt;1,"同校本地PID重复",IF(OR(COUNTIFS($A$4:$A$503,A16,$B$4:$B$503,"&lt;&gt;"&amp;B16)&gt;0,COUNTIFS($A$4:$A$503,A16,$C$4:$C$503,"&lt;&gt;"&amp;C16)&gt;0,COUNTIFS($A$4:$A$503,A16,$D$4:$D$503,"&lt;&gt;"&amp;D16)&gt;0,COUNTIFS($A$4:$A$503,A16,$I$4:$I$503,"&lt;&gt;"&amp;I16)&gt;0,COUNTIFS($A$4:$A$503,A16,$J$4:$J$503,"&lt;&gt;"&amp;J16)&gt;0,COUNTIFS($A$4:$A$503,A16,$K$4:$K$503,"&lt;&gt;"&amp;K16)&gt;0,COUNTIFS($A$4:$A$503,A16,$L$4:$L$503,"&lt;&gt;"&amp;L16)&gt;0),"跨校题目配置不一致","通过")))))))</x:f>
      </x:c>
    </x:row>
    <x:row r="17" ht="22" customHeight="1">
      <x:c r="A17" s="70"/>
      <x:c r="B17" s="70"/>
      <x:c r="C17" s="28"/>
      <x:c r="D17" s="28"/>
      <x:c r="E17" s="70"/>
      <x:c r="F17" s="71" t="str">
        <x:f>IFERROR(INDEX('学校信息'!$F$4:$F$53,MATCH(E17,'学校信息'!$A$4:$A$53,0)),"")</x:f>
      </x:c>
      <x:c r="G17" s="71" t="str">
        <x:f>IFERROR(INDEX('学校信息'!$G$4:$G$53,MATCH(E17,'学校信息'!$A$4:$A$53,0)),"")</x:f>
      </x:c>
      <x:c r="H17" s="70"/>
      <x:c r="I17" s="70"/>
      <x:c r="J17" s="70"/>
      <x:c r="K17" s="28"/>
      <x:c r="L17" s="28"/>
      <x:c r="M17" s="60" t="str">
        <x:f>IF(COUNTA(A17:E17)+COUNTA(H17:L17)=0,"",IF(OR(A17="",B17="",C17="",D17="",E17="",H17="",I17="",J17="",K17="",L17=""),"缺少必填项",IF(OR(LEN(I17)&lt;&gt;64,LEN(J17)&lt;&gt;64),"SHA269长度应为64",IF(COUNTIF('学校信息'!$A$4:$A$53,E17)=0,"学校ID不存在",IF(COUNTIFS($E$4:$E$503,E17,$A$4:$A$503,A17)&gt;1,"同校全局题目ID重复",IF(COUNTIFS($E$4:$E$503,E17,$H$4:$H$503,H17)&gt;1,"同校本地PID重复",IF(OR(COUNTIFS($A$4:$A$503,A17,$B$4:$B$503,"&lt;&gt;"&amp;B17)&gt;0,COUNTIFS($A$4:$A$503,A17,$C$4:$C$503,"&lt;&gt;"&amp;C17)&gt;0,COUNTIFS($A$4:$A$503,A17,$D$4:$D$503,"&lt;&gt;"&amp;D17)&gt;0,COUNTIFS($A$4:$A$503,A17,$I$4:$I$503,"&lt;&gt;"&amp;I17)&gt;0,COUNTIFS($A$4:$A$503,A17,$J$4:$J$503,"&lt;&gt;"&amp;J17)&gt;0,COUNTIFS($A$4:$A$503,A17,$K$4:$K$503,"&lt;&gt;"&amp;K17)&gt;0,COUNTIFS($A$4:$A$503,A17,$L$4:$L$503,"&lt;&gt;"&amp;L17)&gt;0),"跨校题目配置不一致","通过")))))))</x:f>
      </x:c>
    </x:row>
    <x:row r="18" ht="22" customHeight="1">
      <x:c r="A18" s="70"/>
      <x:c r="B18" s="70"/>
      <x:c r="C18" s="28"/>
      <x:c r="D18" s="28"/>
      <x:c r="E18" s="70"/>
      <x:c r="F18" s="71" t="str">
        <x:f>IFERROR(INDEX('学校信息'!$F$4:$F$53,MATCH(E18,'学校信息'!$A$4:$A$53,0)),"")</x:f>
      </x:c>
      <x:c r="G18" s="71" t="str">
        <x:f>IFERROR(INDEX('学校信息'!$G$4:$G$53,MATCH(E18,'学校信息'!$A$4:$A$53,0)),"")</x:f>
      </x:c>
      <x:c r="H18" s="70"/>
      <x:c r="I18" s="70"/>
      <x:c r="J18" s="70"/>
      <x:c r="K18" s="28"/>
      <x:c r="L18" s="28"/>
      <x:c r="M18" s="60" t="str">
        <x:f>IF(COUNTA(A18:E18)+COUNTA(H18:L18)=0,"",IF(OR(A18="",B18="",C18="",D18="",E18="",H18="",I18="",J18="",K18="",L18=""),"缺少必填项",IF(OR(LEN(I18)&lt;&gt;64,LEN(J18)&lt;&gt;64),"SHA270长度应为64",IF(COUNTIF('学校信息'!$A$4:$A$53,E18)=0,"学校ID不存在",IF(COUNTIFS($E$4:$E$503,E18,$A$4:$A$503,A18)&gt;1,"同校全局题目ID重复",IF(COUNTIFS($E$4:$E$503,E18,$H$4:$H$503,H18)&gt;1,"同校本地PID重复",IF(OR(COUNTIFS($A$4:$A$503,A18,$B$4:$B$503,"&lt;&gt;"&amp;B18)&gt;0,COUNTIFS($A$4:$A$503,A18,$C$4:$C$503,"&lt;&gt;"&amp;C18)&gt;0,COUNTIFS($A$4:$A$503,A18,$D$4:$D$503,"&lt;&gt;"&amp;D18)&gt;0,COUNTIFS($A$4:$A$503,A18,$I$4:$I$503,"&lt;&gt;"&amp;I18)&gt;0,COUNTIFS($A$4:$A$503,A18,$J$4:$J$503,"&lt;&gt;"&amp;J18)&gt;0,COUNTIFS($A$4:$A$503,A18,$K$4:$K$503,"&lt;&gt;"&amp;K18)&gt;0,COUNTIFS($A$4:$A$503,A18,$L$4:$L$503,"&lt;&gt;"&amp;L18)&gt;0),"跨校题目配置不一致","通过")))))))</x:f>
      </x:c>
    </x:row>
    <x:row r="19" ht="22" customHeight="1">
      <x:c r="A19" s="70"/>
      <x:c r="B19" s="70"/>
      <x:c r="C19" s="28"/>
      <x:c r="D19" s="28"/>
      <x:c r="E19" s="70"/>
      <x:c r="F19" s="71" t="str">
        <x:f>IFERROR(INDEX('学校信息'!$F$4:$F$53,MATCH(E19,'学校信息'!$A$4:$A$53,0)),"")</x:f>
      </x:c>
      <x:c r="G19" s="71" t="str">
        <x:f>IFERROR(INDEX('学校信息'!$G$4:$G$53,MATCH(E19,'学校信息'!$A$4:$A$53,0)),"")</x:f>
      </x:c>
      <x:c r="H19" s="70"/>
      <x:c r="I19" s="70"/>
      <x:c r="J19" s="70"/>
      <x:c r="K19" s="28"/>
      <x:c r="L19" s="28"/>
      <x:c r="M19" s="60" t="str">
        <x:f>IF(COUNTA(A19:E19)+COUNTA(H19:L19)=0,"",IF(OR(A19="",B19="",C19="",D19="",E19="",H19="",I19="",J19="",K19="",L19=""),"缺少必填项",IF(OR(LEN(I19)&lt;&gt;64,LEN(J19)&lt;&gt;64),"SHA271长度应为64",IF(COUNTIF('学校信息'!$A$4:$A$53,E19)=0,"学校ID不存在",IF(COUNTIFS($E$4:$E$503,E19,$A$4:$A$503,A19)&gt;1,"同校全局题目ID重复",IF(COUNTIFS($E$4:$E$503,E19,$H$4:$H$503,H19)&gt;1,"同校本地PID重复",IF(OR(COUNTIFS($A$4:$A$503,A19,$B$4:$B$503,"&lt;&gt;"&amp;B19)&gt;0,COUNTIFS($A$4:$A$503,A19,$C$4:$C$503,"&lt;&gt;"&amp;C19)&gt;0,COUNTIFS($A$4:$A$503,A19,$D$4:$D$503,"&lt;&gt;"&amp;D19)&gt;0,COUNTIFS($A$4:$A$503,A19,$I$4:$I$503,"&lt;&gt;"&amp;I19)&gt;0,COUNTIFS($A$4:$A$503,A19,$J$4:$J$503,"&lt;&gt;"&amp;J19)&gt;0,COUNTIFS($A$4:$A$503,A19,$K$4:$K$503,"&lt;&gt;"&amp;K19)&gt;0,COUNTIFS($A$4:$A$503,A19,$L$4:$L$503,"&lt;&gt;"&amp;L19)&gt;0),"跨校题目配置不一致","通过")))))))</x:f>
      </x:c>
    </x:row>
    <x:row r="20" ht="22" customHeight="1">
      <x:c r="A20" s="70"/>
      <x:c r="B20" s="70"/>
      <x:c r="C20" s="28"/>
      <x:c r="D20" s="28"/>
      <x:c r="E20" s="70"/>
      <x:c r="F20" s="71" t="str">
        <x:f>IFERROR(INDEX('学校信息'!$F$4:$F$53,MATCH(E20,'学校信息'!$A$4:$A$53,0)),"")</x:f>
      </x:c>
      <x:c r="G20" s="71" t="str">
        <x:f>IFERROR(INDEX('学校信息'!$G$4:$G$53,MATCH(E20,'学校信息'!$A$4:$A$53,0)),"")</x:f>
      </x:c>
      <x:c r="H20" s="70"/>
      <x:c r="I20" s="70"/>
      <x:c r="J20" s="70"/>
      <x:c r="K20" s="28"/>
      <x:c r="L20" s="28"/>
      <x:c r="M20" s="60" t="str">
        <x:f>IF(COUNTA(A20:E20)+COUNTA(H20:L20)=0,"",IF(OR(A20="",B20="",C20="",D20="",E20="",H20="",I20="",J20="",K20="",L20=""),"缺少必填项",IF(OR(LEN(I20)&lt;&gt;64,LEN(J20)&lt;&gt;64),"SHA272长度应为64",IF(COUNTIF('学校信息'!$A$4:$A$53,E20)=0,"学校ID不存在",IF(COUNTIFS($E$4:$E$503,E20,$A$4:$A$503,A20)&gt;1,"同校全局题目ID重复",IF(COUNTIFS($E$4:$E$503,E20,$H$4:$H$503,H20)&gt;1,"同校本地PID重复",IF(OR(COUNTIFS($A$4:$A$503,A20,$B$4:$B$503,"&lt;&gt;"&amp;B20)&gt;0,COUNTIFS($A$4:$A$503,A20,$C$4:$C$503,"&lt;&gt;"&amp;C20)&gt;0,COUNTIFS($A$4:$A$503,A20,$D$4:$D$503,"&lt;&gt;"&amp;D20)&gt;0,COUNTIFS($A$4:$A$503,A20,$I$4:$I$503,"&lt;&gt;"&amp;I20)&gt;0,COUNTIFS($A$4:$A$503,A20,$J$4:$J$503,"&lt;&gt;"&amp;J20)&gt;0,COUNTIFS($A$4:$A$503,A20,$K$4:$K$503,"&lt;&gt;"&amp;K20)&gt;0,COUNTIFS($A$4:$A$503,A20,$L$4:$L$503,"&lt;&gt;"&amp;L20)&gt;0),"跨校题目配置不一致","通过")))))))</x:f>
      </x:c>
    </x:row>
    <x:row r="21" ht="22" customHeight="1">
      <x:c r="A21" s="70"/>
      <x:c r="B21" s="70"/>
      <x:c r="C21" s="28"/>
      <x:c r="D21" s="28"/>
      <x:c r="E21" s="70"/>
      <x:c r="F21" s="71" t="str">
        <x:f>IFERROR(INDEX('学校信息'!$F$4:$F$53,MATCH(E21,'学校信息'!$A$4:$A$53,0)),"")</x:f>
      </x:c>
      <x:c r="G21" s="71" t="str">
        <x:f>IFERROR(INDEX('学校信息'!$G$4:$G$53,MATCH(E21,'学校信息'!$A$4:$A$53,0)),"")</x:f>
      </x:c>
      <x:c r="H21" s="70"/>
      <x:c r="I21" s="70"/>
      <x:c r="J21" s="70"/>
      <x:c r="K21" s="28"/>
      <x:c r="L21" s="28"/>
      <x:c r="M21" s="60" t="str">
        <x:f>IF(COUNTA(A21:E21)+COUNTA(H21:L21)=0,"",IF(OR(A21="",B21="",C21="",D21="",E21="",H21="",I21="",J21="",K21="",L21=""),"缺少必填项",IF(OR(LEN(I21)&lt;&gt;64,LEN(J21)&lt;&gt;64),"SHA273长度应为64",IF(COUNTIF('学校信息'!$A$4:$A$53,E21)=0,"学校ID不存在",IF(COUNTIFS($E$4:$E$503,E21,$A$4:$A$503,A21)&gt;1,"同校全局题目ID重复",IF(COUNTIFS($E$4:$E$503,E21,$H$4:$H$503,H21)&gt;1,"同校本地PID重复",IF(OR(COUNTIFS($A$4:$A$503,A21,$B$4:$B$503,"&lt;&gt;"&amp;B21)&gt;0,COUNTIFS($A$4:$A$503,A21,$C$4:$C$503,"&lt;&gt;"&amp;C21)&gt;0,COUNTIFS($A$4:$A$503,A21,$D$4:$D$503,"&lt;&gt;"&amp;D21)&gt;0,COUNTIFS($A$4:$A$503,A21,$I$4:$I$503,"&lt;&gt;"&amp;I21)&gt;0,COUNTIFS($A$4:$A$503,A21,$J$4:$J$503,"&lt;&gt;"&amp;J21)&gt;0,COUNTIFS($A$4:$A$503,A21,$K$4:$K$503,"&lt;&gt;"&amp;K21)&gt;0,COUNTIFS($A$4:$A$503,A21,$L$4:$L$503,"&lt;&gt;"&amp;L21)&gt;0),"跨校题目配置不一致","通过")))))))</x:f>
      </x:c>
    </x:row>
    <x:row r="22" ht="22" customHeight="1">
      <x:c r="A22" s="70"/>
      <x:c r="B22" s="70"/>
      <x:c r="C22" s="28"/>
      <x:c r="D22" s="28"/>
      <x:c r="E22" s="70"/>
      <x:c r="F22" s="71" t="str">
        <x:f>IFERROR(INDEX('学校信息'!$F$4:$F$53,MATCH(E22,'学校信息'!$A$4:$A$53,0)),"")</x:f>
      </x:c>
      <x:c r="G22" s="71" t="str">
        <x:f>IFERROR(INDEX('学校信息'!$G$4:$G$53,MATCH(E22,'学校信息'!$A$4:$A$53,0)),"")</x:f>
      </x:c>
      <x:c r="H22" s="70"/>
      <x:c r="I22" s="70"/>
      <x:c r="J22" s="70"/>
      <x:c r="K22" s="28"/>
      <x:c r="L22" s="28"/>
      <x:c r="M22" s="60" t="str">
        <x:f>IF(COUNTA(A22:E22)+COUNTA(H22:L22)=0,"",IF(OR(A22="",B22="",C22="",D22="",E22="",H22="",I22="",J22="",K22="",L22=""),"缺少必填项",IF(OR(LEN(I22)&lt;&gt;64,LEN(J22)&lt;&gt;64),"SHA274长度应为64",IF(COUNTIF('学校信息'!$A$4:$A$53,E22)=0,"学校ID不存在",IF(COUNTIFS($E$4:$E$503,E22,$A$4:$A$503,A22)&gt;1,"同校全局题目ID重复",IF(COUNTIFS($E$4:$E$503,E22,$H$4:$H$503,H22)&gt;1,"同校本地PID重复",IF(OR(COUNTIFS($A$4:$A$503,A22,$B$4:$B$503,"&lt;&gt;"&amp;B22)&gt;0,COUNTIFS($A$4:$A$503,A22,$C$4:$C$503,"&lt;&gt;"&amp;C22)&gt;0,COUNTIFS($A$4:$A$503,A22,$D$4:$D$503,"&lt;&gt;"&amp;D22)&gt;0,COUNTIFS($A$4:$A$503,A22,$I$4:$I$503,"&lt;&gt;"&amp;I22)&gt;0,COUNTIFS($A$4:$A$503,A22,$J$4:$J$503,"&lt;&gt;"&amp;J22)&gt;0,COUNTIFS($A$4:$A$503,A22,$K$4:$K$503,"&lt;&gt;"&amp;K22)&gt;0,COUNTIFS($A$4:$A$503,A22,$L$4:$L$503,"&lt;&gt;"&amp;L22)&gt;0),"跨校题目配置不一致","通过")))))))</x:f>
      </x:c>
    </x:row>
    <x:row r="23" ht="22" customHeight="1">
      <x:c r="A23" s="70"/>
      <x:c r="B23" s="70"/>
      <x:c r="C23" s="28"/>
      <x:c r="D23" s="28"/>
      <x:c r="E23" s="70"/>
      <x:c r="F23" s="71" t="str">
        <x:f>IFERROR(INDEX('学校信息'!$F$4:$F$53,MATCH(E23,'学校信息'!$A$4:$A$53,0)),"")</x:f>
      </x:c>
      <x:c r="G23" s="71" t="str">
        <x:f>IFERROR(INDEX('学校信息'!$G$4:$G$53,MATCH(E23,'学校信息'!$A$4:$A$53,0)),"")</x:f>
      </x:c>
      <x:c r="H23" s="70"/>
      <x:c r="I23" s="70"/>
      <x:c r="J23" s="70"/>
      <x:c r="K23" s="28"/>
      <x:c r="L23" s="28"/>
      <x:c r="M23" s="60" t="str">
        <x:f>IF(COUNTA(A23:E23)+COUNTA(H23:L23)=0,"",IF(OR(A23="",B23="",C23="",D23="",E23="",H23="",I23="",J23="",K23="",L23=""),"缺少必填项",IF(OR(LEN(I23)&lt;&gt;64,LEN(J23)&lt;&gt;64),"SHA275长度应为64",IF(COUNTIF('学校信息'!$A$4:$A$53,E23)=0,"学校ID不存在",IF(COUNTIFS($E$4:$E$503,E23,$A$4:$A$503,A23)&gt;1,"同校全局题目ID重复",IF(COUNTIFS($E$4:$E$503,E23,$H$4:$H$503,H23)&gt;1,"同校本地PID重复",IF(OR(COUNTIFS($A$4:$A$503,A23,$B$4:$B$503,"&lt;&gt;"&amp;B23)&gt;0,COUNTIFS($A$4:$A$503,A23,$C$4:$C$503,"&lt;&gt;"&amp;C23)&gt;0,COUNTIFS($A$4:$A$503,A23,$D$4:$D$503,"&lt;&gt;"&amp;D23)&gt;0,COUNTIFS($A$4:$A$503,A23,$I$4:$I$503,"&lt;&gt;"&amp;I23)&gt;0,COUNTIFS($A$4:$A$503,A23,$J$4:$J$503,"&lt;&gt;"&amp;J23)&gt;0,COUNTIFS($A$4:$A$503,A23,$K$4:$K$503,"&lt;&gt;"&amp;K23)&gt;0,COUNTIFS($A$4:$A$503,A23,$L$4:$L$503,"&lt;&gt;"&amp;L23)&gt;0),"跨校题目配置不一致","通过")))))))</x:f>
      </x:c>
    </x:row>
    <x:row r="24" ht="22" customHeight="1">
      <x:c r="A24" s="70"/>
      <x:c r="B24" s="70"/>
      <x:c r="C24" s="28"/>
      <x:c r="D24" s="28"/>
      <x:c r="E24" s="70"/>
      <x:c r="F24" s="71" t="str">
        <x:f>IFERROR(INDEX('学校信息'!$F$4:$F$53,MATCH(E24,'学校信息'!$A$4:$A$53,0)),"")</x:f>
      </x:c>
      <x:c r="G24" s="71" t="str">
        <x:f>IFERROR(INDEX('学校信息'!$G$4:$G$53,MATCH(E24,'学校信息'!$A$4:$A$53,0)),"")</x:f>
      </x:c>
      <x:c r="H24" s="70"/>
      <x:c r="I24" s="70"/>
      <x:c r="J24" s="70"/>
      <x:c r="K24" s="28"/>
      <x:c r="L24" s="28"/>
      <x:c r="M24" s="60" t="str">
        <x:f>IF(COUNTA(A24:E24)+COUNTA(H24:L24)=0,"",IF(OR(A24="",B24="",C24="",D24="",E24="",H24="",I24="",J24="",K24="",L24=""),"缺少必填项",IF(OR(LEN(I24)&lt;&gt;64,LEN(J24)&lt;&gt;64),"SHA276长度应为64",IF(COUNTIF('学校信息'!$A$4:$A$53,E24)=0,"学校ID不存在",IF(COUNTIFS($E$4:$E$503,E24,$A$4:$A$503,A24)&gt;1,"同校全局题目ID重复",IF(COUNTIFS($E$4:$E$503,E24,$H$4:$H$503,H24)&gt;1,"同校本地PID重复",IF(OR(COUNTIFS($A$4:$A$503,A24,$B$4:$B$503,"&lt;&gt;"&amp;B24)&gt;0,COUNTIFS($A$4:$A$503,A24,$C$4:$C$503,"&lt;&gt;"&amp;C24)&gt;0,COUNTIFS($A$4:$A$503,A24,$D$4:$D$503,"&lt;&gt;"&amp;D24)&gt;0,COUNTIFS($A$4:$A$503,A24,$I$4:$I$503,"&lt;&gt;"&amp;I24)&gt;0,COUNTIFS($A$4:$A$503,A24,$J$4:$J$503,"&lt;&gt;"&amp;J24)&gt;0,COUNTIFS($A$4:$A$503,A24,$K$4:$K$503,"&lt;&gt;"&amp;K24)&gt;0,COUNTIFS($A$4:$A$503,A24,$L$4:$L$503,"&lt;&gt;"&amp;L24)&gt;0),"跨校题目配置不一致","通过")))))))</x:f>
      </x:c>
    </x:row>
    <x:row r="25" ht="22" customHeight="1">
      <x:c r="A25" s="70"/>
      <x:c r="B25" s="70"/>
      <x:c r="C25" s="28"/>
      <x:c r="D25" s="28"/>
      <x:c r="E25" s="70"/>
      <x:c r="F25" s="71" t="str">
        <x:f>IFERROR(INDEX('学校信息'!$F$4:$F$53,MATCH(E25,'学校信息'!$A$4:$A$53,0)),"")</x:f>
      </x:c>
      <x:c r="G25" s="71" t="str">
        <x:f>IFERROR(INDEX('学校信息'!$G$4:$G$53,MATCH(E25,'学校信息'!$A$4:$A$53,0)),"")</x:f>
      </x:c>
      <x:c r="H25" s="70"/>
      <x:c r="I25" s="70"/>
      <x:c r="J25" s="70"/>
      <x:c r="K25" s="28"/>
      <x:c r="L25" s="28"/>
      <x:c r="M25" s="60" t="str">
        <x:f>IF(COUNTA(A25:E25)+COUNTA(H25:L25)=0,"",IF(OR(A25="",B25="",C25="",D25="",E25="",H25="",I25="",J25="",K25="",L25=""),"缺少必填项",IF(OR(LEN(I25)&lt;&gt;64,LEN(J25)&lt;&gt;64),"SHA277长度应为64",IF(COUNTIF('学校信息'!$A$4:$A$53,E25)=0,"学校ID不存在",IF(COUNTIFS($E$4:$E$503,E25,$A$4:$A$503,A25)&gt;1,"同校全局题目ID重复",IF(COUNTIFS($E$4:$E$503,E25,$H$4:$H$503,H25)&gt;1,"同校本地PID重复",IF(OR(COUNTIFS($A$4:$A$503,A25,$B$4:$B$503,"&lt;&gt;"&amp;B25)&gt;0,COUNTIFS($A$4:$A$503,A25,$C$4:$C$503,"&lt;&gt;"&amp;C25)&gt;0,COUNTIFS($A$4:$A$503,A25,$D$4:$D$503,"&lt;&gt;"&amp;D25)&gt;0,COUNTIFS($A$4:$A$503,A25,$I$4:$I$503,"&lt;&gt;"&amp;I25)&gt;0,COUNTIFS($A$4:$A$503,A25,$J$4:$J$503,"&lt;&gt;"&amp;J25)&gt;0,COUNTIFS($A$4:$A$503,A25,$K$4:$K$503,"&lt;&gt;"&amp;K25)&gt;0,COUNTIFS($A$4:$A$503,A25,$L$4:$L$503,"&lt;&gt;"&amp;L25)&gt;0),"跨校题目配置不一致","通过")))))))</x:f>
      </x:c>
    </x:row>
    <x:row r="26" ht="22" customHeight="1">
      <x:c r="A26" s="70"/>
      <x:c r="B26" s="70"/>
      <x:c r="C26" s="28"/>
      <x:c r="D26" s="28"/>
      <x:c r="E26" s="70"/>
      <x:c r="F26" s="71" t="str">
        <x:f>IFERROR(INDEX('学校信息'!$F$4:$F$53,MATCH(E26,'学校信息'!$A$4:$A$53,0)),"")</x:f>
      </x:c>
      <x:c r="G26" s="71" t="str">
        <x:f>IFERROR(INDEX('学校信息'!$G$4:$G$53,MATCH(E26,'学校信息'!$A$4:$A$53,0)),"")</x:f>
      </x:c>
      <x:c r="H26" s="70"/>
      <x:c r="I26" s="70"/>
      <x:c r="J26" s="70"/>
      <x:c r="K26" s="28"/>
      <x:c r="L26" s="28"/>
      <x:c r="M26" s="60" t="str">
        <x:f>IF(COUNTA(A26:E26)+COUNTA(H26:L26)=0,"",IF(OR(A26="",B26="",C26="",D26="",E26="",H26="",I26="",J26="",K26="",L26=""),"缺少必填项",IF(OR(LEN(I26)&lt;&gt;64,LEN(J26)&lt;&gt;64),"SHA278长度应为64",IF(COUNTIF('学校信息'!$A$4:$A$53,E26)=0,"学校ID不存在",IF(COUNTIFS($E$4:$E$503,E26,$A$4:$A$503,A26)&gt;1,"同校全局题目ID重复",IF(COUNTIFS($E$4:$E$503,E26,$H$4:$H$503,H26)&gt;1,"同校本地PID重复",IF(OR(COUNTIFS($A$4:$A$503,A26,$B$4:$B$503,"&lt;&gt;"&amp;B26)&gt;0,COUNTIFS($A$4:$A$503,A26,$C$4:$C$503,"&lt;&gt;"&amp;C26)&gt;0,COUNTIFS($A$4:$A$503,A26,$D$4:$D$503,"&lt;&gt;"&amp;D26)&gt;0,COUNTIFS($A$4:$A$503,A26,$I$4:$I$503,"&lt;&gt;"&amp;I26)&gt;0,COUNTIFS($A$4:$A$503,A26,$J$4:$J$503,"&lt;&gt;"&amp;J26)&gt;0,COUNTIFS($A$4:$A$503,A26,$K$4:$K$503,"&lt;&gt;"&amp;K26)&gt;0,COUNTIFS($A$4:$A$503,A26,$L$4:$L$503,"&lt;&gt;"&amp;L26)&gt;0),"跨校题目配置不一致","通过")))))))</x:f>
      </x:c>
    </x:row>
    <x:row r="27" ht="22" customHeight="1">
      <x:c r="A27" s="70"/>
      <x:c r="B27" s="70"/>
      <x:c r="C27" s="28"/>
      <x:c r="D27" s="28"/>
      <x:c r="E27" s="70"/>
      <x:c r="F27" s="71" t="str">
        <x:f>IFERROR(INDEX('学校信息'!$F$4:$F$53,MATCH(E27,'学校信息'!$A$4:$A$53,0)),"")</x:f>
      </x:c>
      <x:c r="G27" s="71" t="str">
        <x:f>IFERROR(INDEX('学校信息'!$G$4:$G$53,MATCH(E27,'学校信息'!$A$4:$A$53,0)),"")</x:f>
      </x:c>
      <x:c r="H27" s="70"/>
      <x:c r="I27" s="70"/>
      <x:c r="J27" s="70"/>
      <x:c r="K27" s="28"/>
      <x:c r="L27" s="28"/>
      <x:c r="M27" s="60" t="str">
        <x:f>IF(COUNTA(A27:E27)+COUNTA(H27:L27)=0,"",IF(OR(A27="",B27="",C27="",D27="",E27="",H27="",I27="",J27="",K27="",L27=""),"缺少必填项",IF(OR(LEN(I27)&lt;&gt;64,LEN(J27)&lt;&gt;64),"SHA279长度应为64",IF(COUNTIF('学校信息'!$A$4:$A$53,E27)=0,"学校ID不存在",IF(COUNTIFS($E$4:$E$503,E27,$A$4:$A$503,A27)&gt;1,"同校全局题目ID重复",IF(COUNTIFS($E$4:$E$503,E27,$H$4:$H$503,H27)&gt;1,"同校本地PID重复",IF(OR(COUNTIFS($A$4:$A$503,A27,$B$4:$B$503,"&lt;&gt;"&amp;B27)&gt;0,COUNTIFS($A$4:$A$503,A27,$C$4:$C$503,"&lt;&gt;"&amp;C27)&gt;0,COUNTIFS($A$4:$A$503,A27,$D$4:$D$503,"&lt;&gt;"&amp;D27)&gt;0,COUNTIFS($A$4:$A$503,A27,$I$4:$I$503,"&lt;&gt;"&amp;I27)&gt;0,COUNTIFS($A$4:$A$503,A27,$J$4:$J$503,"&lt;&gt;"&amp;J27)&gt;0,COUNTIFS($A$4:$A$503,A27,$K$4:$K$503,"&lt;&gt;"&amp;K27)&gt;0,COUNTIFS($A$4:$A$503,A27,$L$4:$L$503,"&lt;&gt;"&amp;L27)&gt;0),"跨校题目配置不一致","通过")))))))</x:f>
      </x:c>
    </x:row>
    <x:row r="28" ht="22" customHeight="1">
      <x:c r="A28" s="70"/>
      <x:c r="B28" s="70"/>
      <x:c r="C28" s="28"/>
      <x:c r="D28" s="28"/>
      <x:c r="E28" s="70"/>
      <x:c r="F28" s="71" t="str">
        <x:f>IFERROR(INDEX('学校信息'!$F$4:$F$53,MATCH(E28,'学校信息'!$A$4:$A$53,0)),"")</x:f>
      </x:c>
      <x:c r="G28" s="71" t="str">
        <x:f>IFERROR(INDEX('学校信息'!$G$4:$G$53,MATCH(E28,'学校信息'!$A$4:$A$53,0)),"")</x:f>
      </x:c>
      <x:c r="H28" s="70"/>
      <x:c r="I28" s="70"/>
      <x:c r="J28" s="70"/>
      <x:c r="K28" s="28"/>
      <x:c r="L28" s="28"/>
      <x:c r="M28" s="60" t="str">
        <x:f>IF(COUNTA(A28:E28)+COUNTA(H28:L28)=0,"",IF(OR(A28="",B28="",C28="",D28="",E28="",H28="",I28="",J28="",K28="",L28=""),"缺少必填项",IF(OR(LEN(I28)&lt;&gt;64,LEN(J28)&lt;&gt;64),"SHA280长度应为64",IF(COUNTIF('学校信息'!$A$4:$A$53,E28)=0,"学校ID不存在",IF(COUNTIFS($E$4:$E$503,E28,$A$4:$A$503,A28)&gt;1,"同校全局题目ID重复",IF(COUNTIFS($E$4:$E$503,E28,$H$4:$H$503,H28)&gt;1,"同校本地PID重复",IF(OR(COUNTIFS($A$4:$A$503,A28,$B$4:$B$503,"&lt;&gt;"&amp;B28)&gt;0,COUNTIFS($A$4:$A$503,A28,$C$4:$C$503,"&lt;&gt;"&amp;C28)&gt;0,COUNTIFS($A$4:$A$503,A28,$D$4:$D$503,"&lt;&gt;"&amp;D28)&gt;0,COUNTIFS($A$4:$A$503,A28,$I$4:$I$503,"&lt;&gt;"&amp;I28)&gt;0,COUNTIFS($A$4:$A$503,A28,$J$4:$J$503,"&lt;&gt;"&amp;J28)&gt;0,COUNTIFS($A$4:$A$503,A28,$K$4:$K$503,"&lt;&gt;"&amp;K28)&gt;0,COUNTIFS($A$4:$A$503,A28,$L$4:$L$503,"&lt;&gt;"&amp;L28)&gt;0),"跨校题目配置不一致","通过")))))))</x:f>
      </x:c>
    </x:row>
    <x:row r="29" ht="22" customHeight="1">
      <x:c r="A29" s="70"/>
      <x:c r="B29" s="70"/>
      <x:c r="C29" s="28"/>
      <x:c r="D29" s="28"/>
      <x:c r="E29" s="70"/>
      <x:c r="F29" s="71" t="str">
        <x:f>IFERROR(INDEX('学校信息'!$F$4:$F$53,MATCH(E29,'学校信息'!$A$4:$A$53,0)),"")</x:f>
      </x:c>
      <x:c r="G29" s="71" t="str">
        <x:f>IFERROR(INDEX('学校信息'!$G$4:$G$53,MATCH(E29,'学校信息'!$A$4:$A$53,0)),"")</x:f>
      </x:c>
      <x:c r="H29" s="70"/>
      <x:c r="I29" s="70"/>
      <x:c r="J29" s="70"/>
      <x:c r="K29" s="28"/>
      <x:c r="L29" s="28"/>
      <x:c r="M29" s="60" t="str">
        <x:f>IF(COUNTA(A29:E29)+COUNTA(H29:L29)=0,"",IF(OR(A29="",B29="",C29="",D29="",E29="",H29="",I29="",J29="",K29="",L29=""),"缺少必填项",IF(OR(LEN(I29)&lt;&gt;64,LEN(J29)&lt;&gt;64),"SHA281长度应为64",IF(COUNTIF('学校信息'!$A$4:$A$53,E29)=0,"学校ID不存在",IF(COUNTIFS($E$4:$E$503,E29,$A$4:$A$503,A29)&gt;1,"同校全局题目ID重复",IF(COUNTIFS($E$4:$E$503,E29,$H$4:$H$503,H29)&gt;1,"同校本地PID重复",IF(OR(COUNTIFS($A$4:$A$503,A29,$B$4:$B$503,"&lt;&gt;"&amp;B29)&gt;0,COUNTIFS($A$4:$A$503,A29,$C$4:$C$503,"&lt;&gt;"&amp;C29)&gt;0,COUNTIFS($A$4:$A$503,A29,$D$4:$D$503,"&lt;&gt;"&amp;D29)&gt;0,COUNTIFS($A$4:$A$503,A29,$I$4:$I$503,"&lt;&gt;"&amp;I29)&gt;0,COUNTIFS($A$4:$A$503,A29,$J$4:$J$503,"&lt;&gt;"&amp;J29)&gt;0,COUNTIFS($A$4:$A$503,A29,$K$4:$K$503,"&lt;&gt;"&amp;K29)&gt;0,COUNTIFS($A$4:$A$503,A29,$L$4:$L$503,"&lt;&gt;"&amp;L29)&gt;0),"跨校题目配置不一致","通过")))))))</x:f>
      </x:c>
    </x:row>
    <x:row r="30" ht="22" customHeight="1">
      <x:c r="A30" s="70"/>
      <x:c r="B30" s="70"/>
      <x:c r="C30" s="28"/>
      <x:c r="D30" s="28"/>
      <x:c r="E30" s="70"/>
      <x:c r="F30" s="71" t="str">
        <x:f>IFERROR(INDEX('学校信息'!$F$4:$F$53,MATCH(E30,'学校信息'!$A$4:$A$53,0)),"")</x:f>
      </x:c>
      <x:c r="G30" s="71" t="str">
        <x:f>IFERROR(INDEX('学校信息'!$G$4:$G$53,MATCH(E30,'学校信息'!$A$4:$A$53,0)),"")</x:f>
      </x:c>
      <x:c r="H30" s="70"/>
      <x:c r="I30" s="70"/>
      <x:c r="J30" s="70"/>
      <x:c r="K30" s="28"/>
      <x:c r="L30" s="28"/>
      <x:c r="M30" s="60" t="str">
        <x:f>IF(COUNTA(A30:E30)+COUNTA(H30:L30)=0,"",IF(OR(A30="",B30="",C30="",D30="",E30="",H30="",I30="",J30="",K30="",L30=""),"缺少必填项",IF(OR(LEN(I30)&lt;&gt;64,LEN(J30)&lt;&gt;64),"SHA282长度应为64",IF(COUNTIF('学校信息'!$A$4:$A$53,E30)=0,"学校ID不存在",IF(COUNTIFS($E$4:$E$503,E30,$A$4:$A$503,A30)&gt;1,"同校全局题目ID重复",IF(COUNTIFS($E$4:$E$503,E30,$H$4:$H$503,H30)&gt;1,"同校本地PID重复",IF(OR(COUNTIFS($A$4:$A$503,A30,$B$4:$B$503,"&lt;&gt;"&amp;B30)&gt;0,COUNTIFS($A$4:$A$503,A30,$C$4:$C$503,"&lt;&gt;"&amp;C30)&gt;0,COUNTIFS($A$4:$A$503,A30,$D$4:$D$503,"&lt;&gt;"&amp;D30)&gt;0,COUNTIFS($A$4:$A$503,A30,$I$4:$I$503,"&lt;&gt;"&amp;I30)&gt;0,COUNTIFS($A$4:$A$503,A30,$J$4:$J$503,"&lt;&gt;"&amp;J30)&gt;0,COUNTIFS($A$4:$A$503,A30,$K$4:$K$503,"&lt;&gt;"&amp;K30)&gt;0,COUNTIFS($A$4:$A$503,A30,$L$4:$L$503,"&lt;&gt;"&amp;L30)&gt;0),"跨校题目配置不一致","通过")))))))</x:f>
      </x:c>
    </x:row>
    <x:row r="31" ht="22" customHeight="1">
      <x:c r="A31" s="70"/>
      <x:c r="B31" s="70"/>
      <x:c r="C31" s="28"/>
      <x:c r="D31" s="28"/>
      <x:c r="E31" s="70"/>
      <x:c r="F31" s="71" t="str">
        <x:f>IFERROR(INDEX('学校信息'!$F$4:$F$53,MATCH(E31,'学校信息'!$A$4:$A$53,0)),"")</x:f>
      </x:c>
      <x:c r="G31" s="71" t="str">
        <x:f>IFERROR(INDEX('学校信息'!$G$4:$G$53,MATCH(E31,'学校信息'!$A$4:$A$53,0)),"")</x:f>
      </x:c>
      <x:c r="H31" s="70"/>
      <x:c r="I31" s="70"/>
      <x:c r="J31" s="70"/>
      <x:c r="K31" s="28"/>
      <x:c r="L31" s="28"/>
      <x:c r="M31" s="60" t="str">
        <x:f>IF(COUNTA(A31:E31)+COUNTA(H31:L31)=0,"",IF(OR(A31="",B31="",C31="",D31="",E31="",H31="",I31="",J31="",K31="",L31=""),"缺少必填项",IF(OR(LEN(I31)&lt;&gt;64,LEN(J31)&lt;&gt;64),"SHA283长度应为64",IF(COUNTIF('学校信息'!$A$4:$A$53,E31)=0,"学校ID不存在",IF(COUNTIFS($E$4:$E$503,E31,$A$4:$A$503,A31)&gt;1,"同校全局题目ID重复",IF(COUNTIFS($E$4:$E$503,E31,$H$4:$H$503,H31)&gt;1,"同校本地PID重复",IF(OR(COUNTIFS($A$4:$A$503,A31,$B$4:$B$503,"&lt;&gt;"&amp;B31)&gt;0,COUNTIFS($A$4:$A$503,A31,$C$4:$C$503,"&lt;&gt;"&amp;C31)&gt;0,COUNTIFS($A$4:$A$503,A31,$D$4:$D$503,"&lt;&gt;"&amp;D31)&gt;0,COUNTIFS($A$4:$A$503,A31,$I$4:$I$503,"&lt;&gt;"&amp;I31)&gt;0,COUNTIFS($A$4:$A$503,A31,$J$4:$J$503,"&lt;&gt;"&amp;J31)&gt;0,COUNTIFS($A$4:$A$503,A31,$K$4:$K$503,"&lt;&gt;"&amp;K31)&gt;0,COUNTIFS($A$4:$A$503,A31,$L$4:$L$503,"&lt;&gt;"&amp;L31)&gt;0),"跨校题目配置不一致","通过")))))))</x:f>
      </x:c>
    </x:row>
    <x:row r="32" ht="22" customHeight="1">
      <x:c r="A32" s="70"/>
      <x:c r="B32" s="70"/>
      <x:c r="C32" s="28"/>
      <x:c r="D32" s="28"/>
      <x:c r="E32" s="70"/>
      <x:c r="F32" s="71" t="str">
        <x:f>IFERROR(INDEX('学校信息'!$F$4:$F$53,MATCH(E32,'学校信息'!$A$4:$A$53,0)),"")</x:f>
      </x:c>
      <x:c r="G32" s="71" t="str">
        <x:f>IFERROR(INDEX('学校信息'!$G$4:$G$53,MATCH(E32,'学校信息'!$A$4:$A$53,0)),"")</x:f>
      </x:c>
      <x:c r="H32" s="70"/>
      <x:c r="I32" s="70"/>
      <x:c r="J32" s="70"/>
      <x:c r="K32" s="28"/>
      <x:c r="L32" s="28"/>
      <x:c r="M32" s="60" t="str">
        <x:f>IF(COUNTA(A32:E32)+COUNTA(H32:L32)=0,"",IF(OR(A32="",B32="",C32="",D32="",E32="",H32="",I32="",J32="",K32="",L32=""),"缺少必填项",IF(OR(LEN(I32)&lt;&gt;64,LEN(J32)&lt;&gt;64),"SHA284长度应为64",IF(COUNTIF('学校信息'!$A$4:$A$53,E32)=0,"学校ID不存在",IF(COUNTIFS($E$4:$E$503,E32,$A$4:$A$503,A32)&gt;1,"同校全局题目ID重复",IF(COUNTIFS($E$4:$E$503,E32,$H$4:$H$503,H32)&gt;1,"同校本地PID重复",IF(OR(COUNTIFS($A$4:$A$503,A32,$B$4:$B$503,"&lt;&gt;"&amp;B32)&gt;0,COUNTIFS($A$4:$A$503,A32,$C$4:$C$503,"&lt;&gt;"&amp;C32)&gt;0,COUNTIFS($A$4:$A$503,A32,$D$4:$D$503,"&lt;&gt;"&amp;D32)&gt;0,COUNTIFS($A$4:$A$503,A32,$I$4:$I$503,"&lt;&gt;"&amp;I32)&gt;0,COUNTIFS($A$4:$A$503,A32,$J$4:$J$503,"&lt;&gt;"&amp;J32)&gt;0,COUNTIFS($A$4:$A$503,A32,$K$4:$K$503,"&lt;&gt;"&amp;K32)&gt;0,COUNTIFS($A$4:$A$503,A32,$L$4:$L$503,"&lt;&gt;"&amp;L32)&gt;0),"跨校题目配置不一致","通过")))))))</x:f>
      </x:c>
    </x:row>
    <x:row r="33" ht="22" customHeight="1">
      <x:c r="A33" s="70"/>
      <x:c r="B33" s="70"/>
      <x:c r="C33" s="28"/>
      <x:c r="D33" s="28"/>
      <x:c r="E33" s="70"/>
      <x:c r="F33" s="71" t="str">
        <x:f>IFERROR(INDEX('学校信息'!$F$4:$F$53,MATCH(E33,'学校信息'!$A$4:$A$53,0)),"")</x:f>
      </x:c>
      <x:c r="G33" s="71" t="str">
        <x:f>IFERROR(INDEX('学校信息'!$G$4:$G$53,MATCH(E33,'学校信息'!$A$4:$A$53,0)),"")</x:f>
      </x:c>
      <x:c r="H33" s="70"/>
      <x:c r="I33" s="70"/>
      <x:c r="J33" s="70"/>
      <x:c r="K33" s="28"/>
      <x:c r="L33" s="28"/>
      <x:c r="M33" s="60" t="str">
        <x:f>IF(COUNTA(A33:E33)+COUNTA(H33:L33)=0,"",IF(OR(A33="",B33="",C33="",D33="",E33="",H33="",I33="",J33="",K33="",L33=""),"缺少必填项",IF(OR(LEN(I33)&lt;&gt;64,LEN(J33)&lt;&gt;64),"SHA285长度应为64",IF(COUNTIF('学校信息'!$A$4:$A$53,E33)=0,"学校ID不存在",IF(COUNTIFS($E$4:$E$503,E33,$A$4:$A$503,A33)&gt;1,"同校全局题目ID重复",IF(COUNTIFS($E$4:$E$503,E33,$H$4:$H$503,H33)&gt;1,"同校本地PID重复",IF(OR(COUNTIFS($A$4:$A$503,A33,$B$4:$B$503,"&lt;&gt;"&amp;B33)&gt;0,COUNTIFS($A$4:$A$503,A33,$C$4:$C$503,"&lt;&gt;"&amp;C33)&gt;0,COUNTIFS($A$4:$A$503,A33,$D$4:$D$503,"&lt;&gt;"&amp;D33)&gt;0,COUNTIFS($A$4:$A$503,A33,$I$4:$I$503,"&lt;&gt;"&amp;I33)&gt;0,COUNTIFS($A$4:$A$503,A33,$J$4:$J$503,"&lt;&gt;"&amp;J33)&gt;0,COUNTIFS($A$4:$A$503,A33,$K$4:$K$503,"&lt;&gt;"&amp;K33)&gt;0,COUNTIFS($A$4:$A$503,A33,$L$4:$L$503,"&lt;&gt;"&amp;L33)&gt;0),"跨校题目配置不一致","通过")))))))</x:f>
      </x:c>
    </x:row>
    <x:row r="34" ht="22" customHeight="1">
      <x:c r="A34" s="70"/>
      <x:c r="B34" s="70"/>
      <x:c r="C34" s="28"/>
      <x:c r="D34" s="28"/>
      <x:c r="E34" s="70"/>
      <x:c r="F34" s="71" t="str">
        <x:f>IFERROR(INDEX('学校信息'!$F$4:$F$53,MATCH(E34,'学校信息'!$A$4:$A$53,0)),"")</x:f>
      </x:c>
      <x:c r="G34" s="71" t="str">
        <x:f>IFERROR(INDEX('学校信息'!$G$4:$G$53,MATCH(E34,'学校信息'!$A$4:$A$53,0)),"")</x:f>
      </x:c>
      <x:c r="H34" s="70"/>
      <x:c r="I34" s="70"/>
      <x:c r="J34" s="70"/>
      <x:c r="K34" s="28"/>
      <x:c r="L34" s="28"/>
      <x:c r="M34" s="60" t="str">
        <x:f>IF(COUNTA(A34:E34)+COUNTA(H34:L34)=0,"",IF(OR(A34="",B34="",C34="",D34="",E34="",H34="",I34="",J34="",K34="",L34=""),"缺少必填项",IF(OR(LEN(I34)&lt;&gt;64,LEN(J34)&lt;&gt;64),"SHA286长度应为64",IF(COUNTIF('学校信息'!$A$4:$A$53,E34)=0,"学校ID不存在",IF(COUNTIFS($E$4:$E$503,E34,$A$4:$A$503,A34)&gt;1,"同校全局题目ID重复",IF(COUNTIFS($E$4:$E$503,E34,$H$4:$H$503,H34)&gt;1,"同校本地PID重复",IF(OR(COUNTIFS($A$4:$A$503,A34,$B$4:$B$503,"&lt;&gt;"&amp;B34)&gt;0,COUNTIFS($A$4:$A$503,A34,$C$4:$C$503,"&lt;&gt;"&amp;C34)&gt;0,COUNTIFS($A$4:$A$503,A34,$D$4:$D$503,"&lt;&gt;"&amp;D34)&gt;0,COUNTIFS($A$4:$A$503,A34,$I$4:$I$503,"&lt;&gt;"&amp;I34)&gt;0,COUNTIFS($A$4:$A$503,A34,$J$4:$J$503,"&lt;&gt;"&amp;J34)&gt;0,COUNTIFS($A$4:$A$503,A34,$K$4:$K$503,"&lt;&gt;"&amp;K34)&gt;0,COUNTIFS($A$4:$A$503,A34,$L$4:$L$503,"&lt;&gt;"&amp;L34)&gt;0),"跨校题目配置不一致","通过")))))))</x:f>
      </x:c>
    </x:row>
    <x:row r="35" ht="22" customHeight="1">
      <x:c r="A35" s="70"/>
      <x:c r="B35" s="70"/>
      <x:c r="C35" s="28"/>
      <x:c r="D35" s="28"/>
      <x:c r="E35" s="70"/>
      <x:c r="F35" s="71" t="str">
        <x:f>IFERROR(INDEX('学校信息'!$F$4:$F$53,MATCH(E35,'学校信息'!$A$4:$A$53,0)),"")</x:f>
      </x:c>
      <x:c r="G35" s="71" t="str">
        <x:f>IFERROR(INDEX('学校信息'!$G$4:$G$53,MATCH(E35,'学校信息'!$A$4:$A$53,0)),"")</x:f>
      </x:c>
      <x:c r="H35" s="70"/>
      <x:c r="I35" s="70"/>
      <x:c r="J35" s="70"/>
      <x:c r="K35" s="28"/>
      <x:c r="L35" s="28"/>
      <x:c r="M35" s="60" t="str">
        <x:f>IF(COUNTA(A35:E35)+COUNTA(H35:L35)=0,"",IF(OR(A35="",B35="",C35="",D35="",E35="",H35="",I35="",J35="",K35="",L35=""),"缺少必填项",IF(OR(LEN(I35)&lt;&gt;64,LEN(J35)&lt;&gt;64),"SHA287长度应为64",IF(COUNTIF('学校信息'!$A$4:$A$53,E35)=0,"学校ID不存在",IF(COUNTIFS($E$4:$E$503,E35,$A$4:$A$503,A35)&gt;1,"同校全局题目ID重复",IF(COUNTIFS($E$4:$E$503,E35,$H$4:$H$503,H35)&gt;1,"同校本地PID重复",IF(OR(COUNTIFS($A$4:$A$503,A35,$B$4:$B$503,"&lt;&gt;"&amp;B35)&gt;0,COUNTIFS($A$4:$A$503,A35,$C$4:$C$503,"&lt;&gt;"&amp;C35)&gt;0,COUNTIFS($A$4:$A$503,A35,$D$4:$D$503,"&lt;&gt;"&amp;D35)&gt;0,COUNTIFS($A$4:$A$503,A35,$I$4:$I$503,"&lt;&gt;"&amp;I35)&gt;0,COUNTIFS($A$4:$A$503,A35,$J$4:$J$503,"&lt;&gt;"&amp;J35)&gt;0,COUNTIFS($A$4:$A$503,A35,$K$4:$K$503,"&lt;&gt;"&amp;K35)&gt;0,COUNTIFS($A$4:$A$503,A35,$L$4:$L$503,"&lt;&gt;"&amp;L35)&gt;0),"跨校题目配置不一致","通过")))))))</x:f>
      </x:c>
    </x:row>
    <x:row r="36" ht="22" customHeight="1">
      <x:c r="A36" s="70"/>
      <x:c r="B36" s="70"/>
      <x:c r="C36" s="28"/>
      <x:c r="D36" s="28"/>
      <x:c r="E36" s="70"/>
      <x:c r="F36" s="71" t="str">
        <x:f>IFERROR(INDEX('学校信息'!$F$4:$F$53,MATCH(E36,'学校信息'!$A$4:$A$53,0)),"")</x:f>
      </x:c>
      <x:c r="G36" s="71" t="str">
        <x:f>IFERROR(INDEX('学校信息'!$G$4:$G$53,MATCH(E36,'学校信息'!$A$4:$A$53,0)),"")</x:f>
      </x:c>
      <x:c r="H36" s="70"/>
      <x:c r="I36" s="70"/>
      <x:c r="J36" s="70"/>
      <x:c r="K36" s="28"/>
      <x:c r="L36" s="28"/>
      <x:c r="M36" s="60" t="str">
        <x:f>IF(COUNTA(A36:E36)+COUNTA(H36:L36)=0,"",IF(OR(A36="",B36="",C36="",D36="",E36="",H36="",I36="",J36="",K36="",L36=""),"缺少必填项",IF(OR(LEN(I36)&lt;&gt;64,LEN(J36)&lt;&gt;64),"SHA288长度应为64",IF(COUNTIF('学校信息'!$A$4:$A$53,E36)=0,"学校ID不存在",IF(COUNTIFS($E$4:$E$503,E36,$A$4:$A$503,A36)&gt;1,"同校全局题目ID重复",IF(COUNTIFS($E$4:$E$503,E36,$H$4:$H$503,H36)&gt;1,"同校本地PID重复",IF(OR(COUNTIFS($A$4:$A$503,A36,$B$4:$B$503,"&lt;&gt;"&amp;B36)&gt;0,COUNTIFS($A$4:$A$503,A36,$C$4:$C$503,"&lt;&gt;"&amp;C36)&gt;0,COUNTIFS($A$4:$A$503,A36,$D$4:$D$503,"&lt;&gt;"&amp;D36)&gt;0,COUNTIFS($A$4:$A$503,A36,$I$4:$I$503,"&lt;&gt;"&amp;I36)&gt;0,COUNTIFS($A$4:$A$503,A36,$J$4:$J$503,"&lt;&gt;"&amp;J36)&gt;0,COUNTIFS($A$4:$A$503,A36,$K$4:$K$503,"&lt;&gt;"&amp;K36)&gt;0,COUNTIFS($A$4:$A$503,A36,$L$4:$L$503,"&lt;&gt;"&amp;L36)&gt;0),"跨校题目配置不一致","通过")))))))</x:f>
      </x:c>
    </x:row>
    <x:row r="37" ht="22" customHeight="1">
      <x:c r="A37" s="70"/>
      <x:c r="B37" s="70"/>
      <x:c r="C37" s="28"/>
      <x:c r="D37" s="28"/>
      <x:c r="E37" s="70"/>
      <x:c r="F37" s="71" t="str">
        <x:f>IFERROR(INDEX('学校信息'!$F$4:$F$53,MATCH(E37,'学校信息'!$A$4:$A$53,0)),"")</x:f>
      </x:c>
      <x:c r="G37" s="71" t="str">
        <x:f>IFERROR(INDEX('学校信息'!$G$4:$G$53,MATCH(E37,'学校信息'!$A$4:$A$53,0)),"")</x:f>
      </x:c>
      <x:c r="H37" s="70"/>
      <x:c r="I37" s="70"/>
      <x:c r="J37" s="70"/>
      <x:c r="K37" s="28"/>
      <x:c r="L37" s="28"/>
      <x:c r="M37" s="60" t="str">
        <x:f>IF(COUNTA(A37:E37)+COUNTA(H37:L37)=0,"",IF(OR(A37="",B37="",C37="",D37="",E37="",H37="",I37="",J37="",K37="",L37=""),"缺少必填项",IF(OR(LEN(I37)&lt;&gt;64,LEN(J37)&lt;&gt;64),"SHA289长度应为64",IF(COUNTIF('学校信息'!$A$4:$A$53,E37)=0,"学校ID不存在",IF(COUNTIFS($E$4:$E$503,E37,$A$4:$A$503,A37)&gt;1,"同校全局题目ID重复",IF(COUNTIFS($E$4:$E$503,E37,$H$4:$H$503,H37)&gt;1,"同校本地PID重复",IF(OR(COUNTIFS($A$4:$A$503,A37,$B$4:$B$503,"&lt;&gt;"&amp;B37)&gt;0,COUNTIFS($A$4:$A$503,A37,$C$4:$C$503,"&lt;&gt;"&amp;C37)&gt;0,COUNTIFS($A$4:$A$503,A37,$D$4:$D$503,"&lt;&gt;"&amp;D37)&gt;0,COUNTIFS($A$4:$A$503,A37,$I$4:$I$503,"&lt;&gt;"&amp;I37)&gt;0,COUNTIFS($A$4:$A$503,A37,$J$4:$J$503,"&lt;&gt;"&amp;J37)&gt;0,COUNTIFS($A$4:$A$503,A37,$K$4:$K$503,"&lt;&gt;"&amp;K37)&gt;0,COUNTIFS($A$4:$A$503,A37,$L$4:$L$503,"&lt;&gt;"&amp;L37)&gt;0),"跨校题目配置不一致","通过")))))))</x:f>
      </x:c>
    </x:row>
    <x:row r="38" ht="22" customHeight="1">
      <x:c r="A38" s="70"/>
      <x:c r="B38" s="70"/>
      <x:c r="C38" s="28"/>
      <x:c r="D38" s="28"/>
      <x:c r="E38" s="70"/>
      <x:c r="F38" s="71" t="str">
        <x:f>IFERROR(INDEX('学校信息'!$F$4:$F$53,MATCH(E38,'学校信息'!$A$4:$A$53,0)),"")</x:f>
      </x:c>
      <x:c r="G38" s="71" t="str">
        <x:f>IFERROR(INDEX('学校信息'!$G$4:$G$53,MATCH(E38,'学校信息'!$A$4:$A$53,0)),"")</x:f>
      </x:c>
      <x:c r="H38" s="70"/>
      <x:c r="I38" s="70"/>
      <x:c r="J38" s="70"/>
      <x:c r="K38" s="28"/>
      <x:c r="L38" s="28"/>
      <x:c r="M38" s="60" t="str">
        <x:f>IF(COUNTA(A38:E38)+COUNTA(H38:L38)=0,"",IF(OR(A38="",B38="",C38="",D38="",E38="",H38="",I38="",J38="",K38="",L38=""),"缺少必填项",IF(OR(LEN(I38)&lt;&gt;64,LEN(J38)&lt;&gt;64),"SHA290长度应为64",IF(COUNTIF('学校信息'!$A$4:$A$53,E38)=0,"学校ID不存在",IF(COUNTIFS($E$4:$E$503,E38,$A$4:$A$503,A38)&gt;1,"同校全局题目ID重复",IF(COUNTIFS($E$4:$E$503,E38,$H$4:$H$503,H38)&gt;1,"同校本地PID重复",IF(OR(COUNTIFS($A$4:$A$503,A38,$B$4:$B$503,"&lt;&gt;"&amp;B38)&gt;0,COUNTIFS($A$4:$A$503,A38,$C$4:$C$503,"&lt;&gt;"&amp;C38)&gt;0,COUNTIFS($A$4:$A$503,A38,$D$4:$D$503,"&lt;&gt;"&amp;D38)&gt;0,COUNTIFS($A$4:$A$503,A38,$I$4:$I$503,"&lt;&gt;"&amp;I38)&gt;0,COUNTIFS($A$4:$A$503,A38,$J$4:$J$503,"&lt;&gt;"&amp;J38)&gt;0,COUNTIFS($A$4:$A$503,A38,$K$4:$K$503,"&lt;&gt;"&amp;K38)&gt;0,COUNTIFS($A$4:$A$503,A38,$L$4:$L$503,"&lt;&gt;"&amp;L38)&gt;0),"跨校题目配置不一致","通过")))))))</x:f>
      </x:c>
    </x:row>
    <x:row r="39" ht="22" customHeight="1">
      <x:c r="A39" s="70"/>
      <x:c r="B39" s="70"/>
      <x:c r="C39" s="28"/>
      <x:c r="D39" s="28"/>
      <x:c r="E39" s="70"/>
      <x:c r="F39" s="71" t="str">
        <x:f>IFERROR(INDEX('学校信息'!$F$4:$F$53,MATCH(E39,'学校信息'!$A$4:$A$53,0)),"")</x:f>
      </x:c>
      <x:c r="G39" s="71" t="str">
        <x:f>IFERROR(INDEX('学校信息'!$G$4:$G$53,MATCH(E39,'学校信息'!$A$4:$A$53,0)),"")</x:f>
      </x:c>
      <x:c r="H39" s="70"/>
      <x:c r="I39" s="70"/>
      <x:c r="J39" s="70"/>
      <x:c r="K39" s="28"/>
      <x:c r="L39" s="28"/>
      <x:c r="M39" s="60" t="str">
        <x:f>IF(COUNTA(A39:E39)+COUNTA(H39:L39)=0,"",IF(OR(A39="",B39="",C39="",D39="",E39="",H39="",I39="",J39="",K39="",L39=""),"缺少必填项",IF(OR(LEN(I39)&lt;&gt;64,LEN(J39)&lt;&gt;64),"SHA291长度应为64",IF(COUNTIF('学校信息'!$A$4:$A$53,E39)=0,"学校ID不存在",IF(COUNTIFS($E$4:$E$503,E39,$A$4:$A$503,A39)&gt;1,"同校全局题目ID重复",IF(COUNTIFS($E$4:$E$503,E39,$H$4:$H$503,H39)&gt;1,"同校本地PID重复",IF(OR(COUNTIFS($A$4:$A$503,A39,$B$4:$B$503,"&lt;&gt;"&amp;B39)&gt;0,COUNTIFS($A$4:$A$503,A39,$C$4:$C$503,"&lt;&gt;"&amp;C39)&gt;0,COUNTIFS($A$4:$A$503,A39,$D$4:$D$503,"&lt;&gt;"&amp;D39)&gt;0,COUNTIFS($A$4:$A$503,A39,$I$4:$I$503,"&lt;&gt;"&amp;I39)&gt;0,COUNTIFS($A$4:$A$503,A39,$J$4:$J$503,"&lt;&gt;"&amp;J39)&gt;0,COUNTIFS($A$4:$A$503,A39,$K$4:$K$503,"&lt;&gt;"&amp;K39)&gt;0,COUNTIFS($A$4:$A$503,A39,$L$4:$L$503,"&lt;&gt;"&amp;L39)&gt;0),"跨校题目配置不一致","通过")))))))</x:f>
      </x:c>
    </x:row>
    <x:row r="40" ht="22" customHeight="1">
      <x:c r="A40" s="70"/>
      <x:c r="B40" s="70"/>
      <x:c r="C40" s="28"/>
      <x:c r="D40" s="28"/>
      <x:c r="E40" s="70"/>
      <x:c r="F40" s="71" t="str">
        <x:f>IFERROR(INDEX('学校信息'!$F$4:$F$53,MATCH(E40,'学校信息'!$A$4:$A$53,0)),"")</x:f>
      </x:c>
      <x:c r="G40" s="71" t="str">
        <x:f>IFERROR(INDEX('学校信息'!$G$4:$G$53,MATCH(E40,'学校信息'!$A$4:$A$53,0)),"")</x:f>
      </x:c>
      <x:c r="H40" s="70"/>
      <x:c r="I40" s="70"/>
      <x:c r="J40" s="70"/>
      <x:c r="K40" s="28"/>
      <x:c r="L40" s="28"/>
      <x:c r="M40" s="60" t="str">
        <x:f>IF(COUNTA(A40:E40)+COUNTA(H40:L40)=0,"",IF(OR(A40="",B40="",C40="",D40="",E40="",H40="",I40="",J40="",K40="",L40=""),"缺少必填项",IF(OR(LEN(I40)&lt;&gt;64,LEN(J40)&lt;&gt;64),"SHA292长度应为64",IF(COUNTIF('学校信息'!$A$4:$A$53,E40)=0,"学校ID不存在",IF(COUNTIFS($E$4:$E$503,E40,$A$4:$A$503,A40)&gt;1,"同校全局题目ID重复",IF(COUNTIFS($E$4:$E$503,E40,$H$4:$H$503,H40)&gt;1,"同校本地PID重复",IF(OR(COUNTIFS($A$4:$A$503,A40,$B$4:$B$503,"&lt;&gt;"&amp;B40)&gt;0,COUNTIFS($A$4:$A$503,A40,$C$4:$C$503,"&lt;&gt;"&amp;C40)&gt;0,COUNTIFS($A$4:$A$503,A40,$D$4:$D$503,"&lt;&gt;"&amp;D40)&gt;0,COUNTIFS($A$4:$A$503,A40,$I$4:$I$503,"&lt;&gt;"&amp;I40)&gt;0,COUNTIFS($A$4:$A$503,A40,$J$4:$J$503,"&lt;&gt;"&amp;J40)&gt;0,COUNTIFS($A$4:$A$503,A40,$K$4:$K$503,"&lt;&gt;"&amp;K40)&gt;0,COUNTIFS($A$4:$A$503,A40,$L$4:$L$503,"&lt;&gt;"&amp;L40)&gt;0),"跨校题目配置不一致","通过")))))))</x:f>
      </x:c>
    </x:row>
    <x:row r="41" ht="22" customHeight="1">
      <x:c r="A41" s="70"/>
      <x:c r="B41" s="70"/>
      <x:c r="C41" s="28"/>
      <x:c r="D41" s="28"/>
      <x:c r="E41" s="70"/>
      <x:c r="F41" s="71" t="str">
        <x:f>IFERROR(INDEX('学校信息'!$F$4:$F$53,MATCH(E41,'学校信息'!$A$4:$A$53,0)),"")</x:f>
      </x:c>
      <x:c r="G41" s="71" t="str">
        <x:f>IFERROR(INDEX('学校信息'!$G$4:$G$53,MATCH(E41,'学校信息'!$A$4:$A$53,0)),"")</x:f>
      </x:c>
      <x:c r="H41" s="70"/>
      <x:c r="I41" s="70"/>
      <x:c r="J41" s="70"/>
      <x:c r="K41" s="28"/>
      <x:c r="L41" s="28"/>
      <x:c r="M41" s="60" t="str">
        <x:f>IF(COUNTA(A41:E41)+COUNTA(H41:L41)=0,"",IF(OR(A41="",B41="",C41="",D41="",E41="",H41="",I41="",J41="",K41="",L41=""),"缺少必填项",IF(OR(LEN(I41)&lt;&gt;64,LEN(J41)&lt;&gt;64),"SHA293长度应为64",IF(COUNTIF('学校信息'!$A$4:$A$53,E41)=0,"学校ID不存在",IF(COUNTIFS($E$4:$E$503,E41,$A$4:$A$503,A41)&gt;1,"同校全局题目ID重复",IF(COUNTIFS($E$4:$E$503,E41,$H$4:$H$503,H41)&gt;1,"同校本地PID重复",IF(OR(COUNTIFS($A$4:$A$503,A41,$B$4:$B$503,"&lt;&gt;"&amp;B41)&gt;0,COUNTIFS($A$4:$A$503,A41,$C$4:$C$503,"&lt;&gt;"&amp;C41)&gt;0,COUNTIFS($A$4:$A$503,A41,$D$4:$D$503,"&lt;&gt;"&amp;D41)&gt;0,COUNTIFS($A$4:$A$503,A41,$I$4:$I$503,"&lt;&gt;"&amp;I41)&gt;0,COUNTIFS($A$4:$A$503,A41,$J$4:$J$503,"&lt;&gt;"&amp;J41)&gt;0,COUNTIFS($A$4:$A$503,A41,$K$4:$K$503,"&lt;&gt;"&amp;K41)&gt;0,COUNTIFS($A$4:$A$503,A41,$L$4:$L$503,"&lt;&gt;"&amp;L41)&gt;0),"跨校题目配置不一致","通过")))))))</x:f>
      </x:c>
    </x:row>
    <x:row r="42" ht="22" customHeight="1">
      <x:c r="A42" s="70"/>
      <x:c r="B42" s="70"/>
      <x:c r="C42" s="28"/>
      <x:c r="D42" s="28"/>
      <x:c r="E42" s="70"/>
      <x:c r="F42" s="71" t="str">
        <x:f>IFERROR(INDEX('学校信息'!$F$4:$F$53,MATCH(E42,'学校信息'!$A$4:$A$53,0)),"")</x:f>
      </x:c>
      <x:c r="G42" s="71" t="str">
        <x:f>IFERROR(INDEX('学校信息'!$G$4:$G$53,MATCH(E42,'学校信息'!$A$4:$A$53,0)),"")</x:f>
      </x:c>
      <x:c r="H42" s="70"/>
      <x:c r="I42" s="70"/>
      <x:c r="J42" s="70"/>
      <x:c r="K42" s="28"/>
      <x:c r="L42" s="28"/>
      <x:c r="M42" s="60" t="str">
        <x:f>IF(COUNTA(A42:E42)+COUNTA(H42:L42)=0,"",IF(OR(A42="",B42="",C42="",D42="",E42="",H42="",I42="",J42="",K42="",L42=""),"缺少必填项",IF(OR(LEN(I42)&lt;&gt;64,LEN(J42)&lt;&gt;64),"SHA294长度应为64",IF(COUNTIF('学校信息'!$A$4:$A$53,E42)=0,"学校ID不存在",IF(COUNTIFS($E$4:$E$503,E42,$A$4:$A$503,A42)&gt;1,"同校全局题目ID重复",IF(COUNTIFS($E$4:$E$503,E42,$H$4:$H$503,H42)&gt;1,"同校本地PID重复",IF(OR(COUNTIFS($A$4:$A$503,A42,$B$4:$B$503,"&lt;&gt;"&amp;B42)&gt;0,COUNTIFS($A$4:$A$503,A42,$C$4:$C$503,"&lt;&gt;"&amp;C42)&gt;0,COUNTIFS($A$4:$A$503,A42,$D$4:$D$503,"&lt;&gt;"&amp;D42)&gt;0,COUNTIFS($A$4:$A$503,A42,$I$4:$I$503,"&lt;&gt;"&amp;I42)&gt;0,COUNTIFS($A$4:$A$503,A42,$J$4:$J$503,"&lt;&gt;"&amp;J42)&gt;0,COUNTIFS($A$4:$A$503,A42,$K$4:$K$503,"&lt;&gt;"&amp;K42)&gt;0,COUNTIFS($A$4:$A$503,A42,$L$4:$L$503,"&lt;&gt;"&amp;L42)&gt;0),"跨校题目配置不一致","通过")))))))</x:f>
      </x:c>
    </x:row>
    <x:row r="43" ht="22" customHeight="1">
      <x:c r="A43" s="70"/>
      <x:c r="B43" s="70"/>
      <x:c r="C43" s="28"/>
      <x:c r="D43" s="28"/>
      <x:c r="E43" s="70"/>
      <x:c r="F43" s="71" t="str">
        <x:f>IFERROR(INDEX('学校信息'!$F$4:$F$53,MATCH(E43,'学校信息'!$A$4:$A$53,0)),"")</x:f>
      </x:c>
      <x:c r="G43" s="71" t="str">
        <x:f>IFERROR(INDEX('学校信息'!$G$4:$G$53,MATCH(E43,'学校信息'!$A$4:$A$53,0)),"")</x:f>
      </x:c>
      <x:c r="H43" s="70"/>
      <x:c r="I43" s="70"/>
      <x:c r="J43" s="70"/>
      <x:c r="K43" s="28"/>
      <x:c r="L43" s="28"/>
      <x:c r="M43" s="60" t="str">
        <x:f>IF(COUNTA(A43:E43)+COUNTA(H43:L43)=0,"",IF(OR(A43="",B43="",C43="",D43="",E43="",H43="",I43="",J43="",K43="",L43=""),"缺少必填项",IF(OR(LEN(I43)&lt;&gt;64,LEN(J43)&lt;&gt;64),"SHA295长度应为64",IF(COUNTIF('学校信息'!$A$4:$A$53,E43)=0,"学校ID不存在",IF(COUNTIFS($E$4:$E$503,E43,$A$4:$A$503,A43)&gt;1,"同校全局题目ID重复",IF(COUNTIFS($E$4:$E$503,E43,$H$4:$H$503,H43)&gt;1,"同校本地PID重复",IF(OR(COUNTIFS($A$4:$A$503,A43,$B$4:$B$503,"&lt;&gt;"&amp;B43)&gt;0,COUNTIFS($A$4:$A$503,A43,$C$4:$C$503,"&lt;&gt;"&amp;C43)&gt;0,COUNTIFS($A$4:$A$503,A43,$D$4:$D$503,"&lt;&gt;"&amp;D43)&gt;0,COUNTIFS($A$4:$A$503,A43,$I$4:$I$503,"&lt;&gt;"&amp;I43)&gt;0,COUNTIFS($A$4:$A$503,A43,$J$4:$J$503,"&lt;&gt;"&amp;J43)&gt;0,COUNTIFS($A$4:$A$503,A43,$K$4:$K$503,"&lt;&gt;"&amp;K43)&gt;0,COUNTIFS($A$4:$A$503,A43,$L$4:$L$503,"&lt;&gt;"&amp;L43)&gt;0),"跨校题目配置不一致","通过")))))))</x:f>
      </x:c>
    </x:row>
    <x:row r="44" ht="22" customHeight="1">
      <x:c r="A44" s="70"/>
      <x:c r="B44" s="70"/>
      <x:c r="C44" s="28"/>
      <x:c r="D44" s="28"/>
      <x:c r="E44" s="70"/>
      <x:c r="F44" s="71" t="str">
        <x:f>IFERROR(INDEX('学校信息'!$F$4:$F$53,MATCH(E44,'学校信息'!$A$4:$A$53,0)),"")</x:f>
      </x:c>
      <x:c r="G44" s="71" t="str">
        <x:f>IFERROR(INDEX('学校信息'!$G$4:$G$53,MATCH(E44,'学校信息'!$A$4:$A$53,0)),"")</x:f>
      </x:c>
      <x:c r="H44" s="70"/>
      <x:c r="I44" s="70"/>
      <x:c r="J44" s="70"/>
      <x:c r="K44" s="28"/>
      <x:c r="L44" s="28"/>
      <x:c r="M44" s="60" t="str">
        <x:f>IF(COUNTA(A44:E44)+COUNTA(H44:L44)=0,"",IF(OR(A44="",B44="",C44="",D44="",E44="",H44="",I44="",J44="",K44="",L44=""),"缺少必填项",IF(OR(LEN(I44)&lt;&gt;64,LEN(J44)&lt;&gt;64),"SHA296长度应为64",IF(COUNTIF('学校信息'!$A$4:$A$53,E44)=0,"学校ID不存在",IF(COUNTIFS($E$4:$E$503,E44,$A$4:$A$503,A44)&gt;1,"同校全局题目ID重复",IF(COUNTIFS($E$4:$E$503,E44,$H$4:$H$503,H44)&gt;1,"同校本地PID重复",IF(OR(COUNTIFS($A$4:$A$503,A44,$B$4:$B$503,"&lt;&gt;"&amp;B44)&gt;0,COUNTIFS($A$4:$A$503,A44,$C$4:$C$503,"&lt;&gt;"&amp;C44)&gt;0,COUNTIFS($A$4:$A$503,A44,$D$4:$D$503,"&lt;&gt;"&amp;D44)&gt;0,COUNTIFS($A$4:$A$503,A44,$I$4:$I$503,"&lt;&gt;"&amp;I44)&gt;0,COUNTIFS($A$4:$A$503,A44,$J$4:$J$503,"&lt;&gt;"&amp;J44)&gt;0,COUNTIFS($A$4:$A$503,A44,$K$4:$K$503,"&lt;&gt;"&amp;K44)&gt;0,COUNTIFS($A$4:$A$503,A44,$L$4:$L$503,"&lt;&gt;"&amp;L44)&gt;0),"跨校题目配置不一致","通过")))))))</x:f>
      </x:c>
    </x:row>
    <x:row r="45" ht="22" customHeight="1">
      <x:c r="A45" s="70"/>
      <x:c r="B45" s="70"/>
      <x:c r="C45" s="28"/>
      <x:c r="D45" s="28"/>
      <x:c r="E45" s="70"/>
      <x:c r="F45" s="71" t="str">
        <x:f>IFERROR(INDEX('学校信息'!$F$4:$F$53,MATCH(E45,'学校信息'!$A$4:$A$53,0)),"")</x:f>
      </x:c>
      <x:c r="G45" s="71" t="str">
        <x:f>IFERROR(INDEX('学校信息'!$G$4:$G$53,MATCH(E45,'学校信息'!$A$4:$A$53,0)),"")</x:f>
      </x:c>
      <x:c r="H45" s="70"/>
      <x:c r="I45" s="70"/>
      <x:c r="J45" s="70"/>
      <x:c r="K45" s="28"/>
      <x:c r="L45" s="28"/>
      <x:c r="M45" s="60" t="str">
        <x:f>IF(COUNTA(A45:E45)+COUNTA(H45:L45)=0,"",IF(OR(A45="",B45="",C45="",D45="",E45="",H45="",I45="",J45="",K45="",L45=""),"缺少必填项",IF(OR(LEN(I45)&lt;&gt;64,LEN(J45)&lt;&gt;64),"SHA297长度应为64",IF(COUNTIF('学校信息'!$A$4:$A$53,E45)=0,"学校ID不存在",IF(COUNTIFS($E$4:$E$503,E45,$A$4:$A$503,A45)&gt;1,"同校全局题目ID重复",IF(COUNTIFS($E$4:$E$503,E45,$H$4:$H$503,H45)&gt;1,"同校本地PID重复",IF(OR(COUNTIFS($A$4:$A$503,A45,$B$4:$B$503,"&lt;&gt;"&amp;B45)&gt;0,COUNTIFS($A$4:$A$503,A45,$C$4:$C$503,"&lt;&gt;"&amp;C45)&gt;0,COUNTIFS($A$4:$A$503,A45,$D$4:$D$503,"&lt;&gt;"&amp;D45)&gt;0,COUNTIFS($A$4:$A$503,A45,$I$4:$I$503,"&lt;&gt;"&amp;I45)&gt;0,COUNTIFS($A$4:$A$503,A45,$J$4:$J$503,"&lt;&gt;"&amp;J45)&gt;0,COUNTIFS($A$4:$A$503,A45,$K$4:$K$503,"&lt;&gt;"&amp;K45)&gt;0,COUNTIFS($A$4:$A$503,A45,$L$4:$L$503,"&lt;&gt;"&amp;L45)&gt;0),"跨校题目配置不一致","通过")))))))</x:f>
      </x:c>
    </x:row>
    <x:row r="46" ht="22" customHeight="1">
      <x:c r="A46" s="70"/>
      <x:c r="B46" s="70"/>
      <x:c r="C46" s="28"/>
      <x:c r="D46" s="28"/>
      <x:c r="E46" s="70"/>
      <x:c r="F46" s="71" t="str">
        <x:f>IFERROR(INDEX('学校信息'!$F$4:$F$53,MATCH(E46,'学校信息'!$A$4:$A$53,0)),"")</x:f>
      </x:c>
      <x:c r="G46" s="71" t="str">
        <x:f>IFERROR(INDEX('学校信息'!$G$4:$G$53,MATCH(E46,'学校信息'!$A$4:$A$53,0)),"")</x:f>
      </x:c>
      <x:c r="H46" s="70"/>
      <x:c r="I46" s="70"/>
      <x:c r="J46" s="70"/>
      <x:c r="K46" s="28"/>
      <x:c r="L46" s="28"/>
      <x:c r="M46" s="60" t="str">
        <x:f>IF(COUNTA(A46:E46)+COUNTA(H46:L46)=0,"",IF(OR(A46="",B46="",C46="",D46="",E46="",H46="",I46="",J46="",K46="",L46=""),"缺少必填项",IF(OR(LEN(I46)&lt;&gt;64,LEN(J46)&lt;&gt;64),"SHA298长度应为64",IF(COUNTIF('学校信息'!$A$4:$A$53,E46)=0,"学校ID不存在",IF(COUNTIFS($E$4:$E$503,E46,$A$4:$A$503,A46)&gt;1,"同校全局题目ID重复",IF(COUNTIFS($E$4:$E$503,E46,$H$4:$H$503,H46)&gt;1,"同校本地PID重复",IF(OR(COUNTIFS($A$4:$A$503,A46,$B$4:$B$503,"&lt;&gt;"&amp;B46)&gt;0,COUNTIFS($A$4:$A$503,A46,$C$4:$C$503,"&lt;&gt;"&amp;C46)&gt;0,COUNTIFS($A$4:$A$503,A46,$D$4:$D$503,"&lt;&gt;"&amp;D46)&gt;0,COUNTIFS($A$4:$A$503,A46,$I$4:$I$503,"&lt;&gt;"&amp;I46)&gt;0,COUNTIFS($A$4:$A$503,A46,$J$4:$J$503,"&lt;&gt;"&amp;J46)&gt;0,COUNTIFS($A$4:$A$503,A46,$K$4:$K$503,"&lt;&gt;"&amp;K46)&gt;0,COUNTIFS($A$4:$A$503,A46,$L$4:$L$503,"&lt;&gt;"&amp;L46)&gt;0),"跨校题目配置不一致","通过")))))))</x:f>
      </x:c>
    </x:row>
    <x:row r="47" ht="22" customHeight="1">
      <x:c r="A47" s="70"/>
      <x:c r="B47" s="70"/>
      <x:c r="C47" s="28"/>
      <x:c r="D47" s="28"/>
      <x:c r="E47" s="70"/>
      <x:c r="F47" s="71" t="str">
        <x:f>IFERROR(INDEX('学校信息'!$F$4:$F$53,MATCH(E47,'学校信息'!$A$4:$A$53,0)),"")</x:f>
      </x:c>
      <x:c r="G47" s="71" t="str">
        <x:f>IFERROR(INDEX('学校信息'!$G$4:$G$53,MATCH(E47,'学校信息'!$A$4:$A$53,0)),"")</x:f>
      </x:c>
      <x:c r="H47" s="70"/>
      <x:c r="I47" s="70"/>
      <x:c r="J47" s="70"/>
      <x:c r="K47" s="28"/>
      <x:c r="L47" s="28"/>
      <x:c r="M47" s="60" t="str">
        <x:f>IF(COUNTA(A47:E47)+COUNTA(H47:L47)=0,"",IF(OR(A47="",B47="",C47="",D47="",E47="",H47="",I47="",J47="",K47="",L47=""),"缺少必填项",IF(OR(LEN(I47)&lt;&gt;64,LEN(J47)&lt;&gt;64),"SHA299长度应为64",IF(COUNTIF('学校信息'!$A$4:$A$53,E47)=0,"学校ID不存在",IF(COUNTIFS($E$4:$E$503,E47,$A$4:$A$503,A47)&gt;1,"同校全局题目ID重复",IF(COUNTIFS($E$4:$E$503,E47,$H$4:$H$503,H47)&gt;1,"同校本地PID重复",IF(OR(COUNTIFS($A$4:$A$503,A47,$B$4:$B$503,"&lt;&gt;"&amp;B47)&gt;0,COUNTIFS($A$4:$A$503,A47,$C$4:$C$503,"&lt;&gt;"&amp;C47)&gt;0,COUNTIFS($A$4:$A$503,A47,$D$4:$D$503,"&lt;&gt;"&amp;D47)&gt;0,COUNTIFS($A$4:$A$503,A47,$I$4:$I$503,"&lt;&gt;"&amp;I47)&gt;0,COUNTIFS($A$4:$A$503,A47,$J$4:$J$503,"&lt;&gt;"&amp;J47)&gt;0,COUNTIFS($A$4:$A$503,A47,$K$4:$K$503,"&lt;&gt;"&amp;K47)&gt;0,COUNTIFS($A$4:$A$503,A47,$L$4:$L$503,"&lt;&gt;"&amp;L47)&gt;0),"跨校题目配置不一致","通过")))))))</x:f>
      </x:c>
    </x:row>
    <x:row r="48" ht="22" customHeight="1">
      <x:c r="A48" s="70"/>
      <x:c r="B48" s="70"/>
      <x:c r="C48" s="28"/>
      <x:c r="D48" s="28"/>
      <x:c r="E48" s="70"/>
      <x:c r="F48" s="71" t="str">
        <x:f>IFERROR(INDEX('学校信息'!$F$4:$F$53,MATCH(E48,'学校信息'!$A$4:$A$53,0)),"")</x:f>
      </x:c>
      <x:c r="G48" s="71" t="str">
        <x:f>IFERROR(INDEX('学校信息'!$G$4:$G$53,MATCH(E48,'学校信息'!$A$4:$A$53,0)),"")</x:f>
      </x:c>
      <x:c r="H48" s="70"/>
      <x:c r="I48" s="70"/>
      <x:c r="J48" s="70"/>
      <x:c r="K48" s="28"/>
      <x:c r="L48" s="28"/>
      <x:c r="M48" s="60" t="str">
        <x:f>IF(COUNTA(A48:E48)+COUNTA(H48:L48)=0,"",IF(OR(A48="",B48="",C48="",D48="",E48="",H48="",I48="",J48="",K48="",L48=""),"缺少必填项",IF(OR(LEN(I48)&lt;&gt;64,LEN(J48)&lt;&gt;64),"SHA300长度应为64",IF(COUNTIF('学校信息'!$A$4:$A$53,E48)=0,"学校ID不存在",IF(COUNTIFS($E$4:$E$503,E48,$A$4:$A$503,A48)&gt;1,"同校全局题目ID重复",IF(COUNTIFS($E$4:$E$503,E48,$H$4:$H$503,H48)&gt;1,"同校本地PID重复",IF(OR(COUNTIFS($A$4:$A$503,A48,$B$4:$B$503,"&lt;&gt;"&amp;B48)&gt;0,COUNTIFS($A$4:$A$503,A48,$C$4:$C$503,"&lt;&gt;"&amp;C48)&gt;0,COUNTIFS($A$4:$A$503,A48,$D$4:$D$503,"&lt;&gt;"&amp;D48)&gt;0,COUNTIFS($A$4:$A$503,A48,$I$4:$I$503,"&lt;&gt;"&amp;I48)&gt;0,COUNTIFS($A$4:$A$503,A48,$J$4:$J$503,"&lt;&gt;"&amp;J48)&gt;0,COUNTIFS($A$4:$A$503,A48,$K$4:$K$503,"&lt;&gt;"&amp;K48)&gt;0,COUNTIFS($A$4:$A$503,A48,$L$4:$L$503,"&lt;&gt;"&amp;L48)&gt;0),"跨校题目配置不一致","通过")))))))</x:f>
      </x:c>
    </x:row>
    <x:row r="49" ht="22" customHeight="1">
      <x:c r="A49" s="70"/>
      <x:c r="B49" s="70"/>
      <x:c r="C49" s="28"/>
      <x:c r="D49" s="28"/>
      <x:c r="E49" s="70"/>
      <x:c r="F49" s="71" t="str">
        <x:f>IFERROR(INDEX('学校信息'!$F$4:$F$53,MATCH(E49,'学校信息'!$A$4:$A$53,0)),"")</x:f>
      </x:c>
      <x:c r="G49" s="71" t="str">
        <x:f>IFERROR(INDEX('学校信息'!$G$4:$G$53,MATCH(E49,'学校信息'!$A$4:$A$53,0)),"")</x:f>
      </x:c>
      <x:c r="H49" s="70"/>
      <x:c r="I49" s="70"/>
      <x:c r="J49" s="70"/>
      <x:c r="K49" s="28"/>
      <x:c r="L49" s="28"/>
      <x:c r="M49" s="60" t="str">
        <x:f>IF(COUNTA(A49:E49)+COUNTA(H49:L49)=0,"",IF(OR(A49="",B49="",C49="",D49="",E49="",H49="",I49="",J49="",K49="",L49=""),"缺少必填项",IF(OR(LEN(I49)&lt;&gt;64,LEN(J49)&lt;&gt;64),"SHA301长度应为64",IF(COUNTIF('学校信息'!$A$4:$A$53,E49)=0,"学校ID不存在",IF(COUNTIFS($E$4:$E$503,E49,$A$4:$A$503,A49)&gt;1,"同校全局题目ID重复",IF(COUNTIFS($E$4:$E$503,E49,$H$4:$H$503,H49)&gt;1,"同校本地PID重复",IF(OR(COUNTIFS($A$4:$A$503,A49,$B$4:$B$503,"&lt;&gt;"&amp;B49)&gt;0,COUNTIFS($A$4:$A$503,A49,$C$4:$C$503,"&lt;&gt;"&amp;C49)&gt;0,COUNTIFS($A$4:$A$503,A49,$D$4:$D$503,"&lt;&gt;"&amp;D49)&gt;0,COUNTIFS($A$4:$A$503,A49,$I$4:$I$503,"&lt;&gt;"&amp;I49)&gt;0,COUNTIFS($A$4:$A$503,A49,$J$4:$J$503,"&lt;&gt;"&amp;J49)&gt;0,COUNTIFS($A$4:$A$503,A49,$K$4:$K$503,"&lt;&gt;"&amp;K49)&gt;0,COUNTIFS($A$4:$A$503,A49,$L$4:$L$503,"&lt;&gt;"&amp;L49)&gt;0),"跨校题目配置不一致","通过")))))))</x:f>
      </x:c>
    </x:row>
    <x:row r="50" ht="22" customHeight="1">
      <x:c r="A50" s="70"/>
      <x:c r="B50" s="70"/>
      <x:c r="C50" s="28"/>
      <x:c r="D50" s="28"/>
      <x:c r="E50" s="70"/>
      <x:c r="F50" s="71" t="str">
        <x:f>IFERROR(INDEX('学校信息'!$F$4:$F$53,MATCH(E50,'学校信息'!$A$4:$A$53,0)),"")</x:f>
      </x:c>
      <x:c r="G50" s="71" t="str">
        <x:f>IFERROR(INDEX('学校信息'!$G$4:$G$53,MATCH(E50,'学校信息'!$A$4:$A$53,0)),"")</x:f>
      </x:c>
      <x:c r="H50" s="70"/>
      <x:c r="I50" s="70"/>
      <x:c r="J50" s="70"/>
      <x:c r="K50" s="28"/>
      <x:c r="L50" s="28"/>
      <x:c r="M50" s="60" t="str">
        <x:f>IF(COUNTA(A50:E50)+COUNTA(H50:L50)=0,"",IF(OR(A50="",B50="",C50="",D50="",E50="",H50="",I50="",J50="",K50="",L50=""),"缺少必填项",IF(OR(LEN(I50)&lt;&gt;64,LEN(J50)&lt;&gt;64),"SHA302长度应为64",IF(COUNTIF('学校信息'!$A$4:$A$53,E50)=0,"学校ID不存在",IF(COUNTIFS($E$4:$E$503,E50,$A$4:$A$503,A50)&gt;1,"同校全局题目ID重复",IF(COUNTIFS($E$4:$E$503,E50,$H$4:$H$503,H50)&gt;1,"同校本地PID重复",IF(OR(COUNTIFS($A$4:$A$503,A50,$B$4:$B$503,"&lt;&gt;"&amp;B50)&gt;0,COUNTIFS($A$4:$A$503,A50,$C$4:$C$503,"&lt;&gt;"&amp;C50)&gt;0,COUNTIFS($A$4:$A$503,A50,$D$4:$D$503,"&lt;&gt;"&amp;D50)&gt;0,COUNTIFS($A$4:$A$503,A50,$I$4:$I$503,"&lt;&gt;"&amp;I50)&gt;0,COUNTIFS($A$4:$A$503,A50,$J$4:$J$503,"&lt;&gt;"&amp;J50)&gt;0,COUNTIFS($A$4:$A$503,A50,$K$4:$K$503,"&lt;&gt;"&amp;K50)&gt;0,COUNTIFS($A$4:$A$503,A50,$L$4:$L$503,"&lt;&gt;"&amp;L50)&gt;0),"跨校题目配置不一致","通过")))))))</x:f>
      </x:c>
    </x:row>
    <x:row r="51" ht="22" customHeight="1">
      <x:c r="A51" s="70"/>
      <x:c r="B51" s="70"/>
      <x:c r="C51" s="28"/>
      <x:c r="D51" s="28"/>
      <x:c r="E51" s="70"/>
      <x:c r="F51" s="71" t="str">
        <x:f>IFERROR(INDEX('学校信息'!$F$4:$F$53,MATCH(E51,'学校信息'!$A$4:$A$53,0)),"")</x:f>
      </x:c>
      <x:c r="G51" s="71" t="str">
        <x:f>IFERROR(INDEX('学校信息'!$G$4:$G$53,MATCH(E51,'学校信息'!$A$4:$A$53,0)),"")</x:f>
      </x:c>
      <x:c r="H51" s="70"/>
      <x:c r="I51" s="70"/>
      <x:c r="J51" s="70"/>
      <x:c r="K51" s="28"/>
      <x:c r="L51" s="28"/>
      <x:c r="M51" s="60" t="str">
        <x:f>IF(COUNTA(A51:E51)+COUNTA(H51:L51)=0,"",IF(OR(A51="",B51="",C51="",D51="",E51="",H51="",I51="",J51="",K51="",L51=""),"缺少必填项",IF(OR(LEN(I51)&lt;&gt;64,LEN(J51)&lt;&gt;64),"SHA303长度应为64",IF(COUNTIF('学校信息'!$A$4:$A$53,E51)=0,"学校ID不存在",IF(COUNTIFS($E$4:$E$503,E51,$A$4:$A$503,A51)&gt;1,"同校全局题目ID重复",IF(COUNTIFS($E$4:$E$503,E51,$H$4:$H$503,H51)&gt;1,"同校本地PID重复",IF(OR(COUNTIFS($A$4:$A$503,A51,$B$4:$B$503,"&lt;&gt;"&amp;B51)&gt;0,COUNTIFS($A$4:$A$503,A51,$C$4:$C$503,"&lt;&gt;"&amp;C51)&gt;0,COUNTIFS($A$4:$A$503,A51,$D$4:$D$503,"&lt;&gt;"&amp;D51)&gt;0,COUNTIFS($A$4:$A$503,A51,$I$4:$I$503,"&lt;&gt;"&amp;I51)&gt;0,COUNTIFS($A$4:$A$503,A51,$J$4:$J$503,"&lt;&gt;"&amp;J51)&gt;0,COUNTIFS($A$4:$A$503,A51,$K$4:$K$503,"&lt;&gt;"&amp;K51)&gt;0,COUNTIFS($A$4:$A$503,A51,$L$4:$L$503,"&lt;&gt;"&amp;L51)&gt;0),"跨校题目配置不一致","通过")))))))</x:f>
      </x:c>
    </x:row>
    <x:row r="52" ht="22" customHeight="1">
      <x:c r="A52" s="70"/>
      <x:c r="B52" s="70"/>
      <x:c r="C52" s="28"/>
      <x:c r="D52" s="28"/>
      <x:c r="E52" s="70"/>
      <x:c r="F52" s="71" t="str">
        <x:f>IFERROR(INDEX('学校信息'!$F$4:$F$53,MATCH(E52,'学校信息'!$A$4:$A$53,0)),"")</x:f>
      </x:c>
      <x:c r="G52" s="71" t="str">
        <x:f>IFERROR(INDEX('学校信息'!$G$4:$G$53,MATCH(E52,'学校信息'!$A$4:$A$53,0)),"")</x:f>
      </x:c>
      <x:c r="H52" s="70"/>
      <x:c r="I52" s="70"/>
      <x:c r="J52" s="70"/>
      <x:c r="K52" s="28"/>
      <x:c r="L52" s="28"/>
      <x:c r="M52" s="60" t="str">
        <x:f>IF(COUNTA(A52:E52)+COUNTA(H52:L52)=0,"",IF(OR(A52="",B52="",C52="",D52="",E52="",H52="",I52="",J52="",K52="",L52=""),"缺少必填项",IF(OR(LEN(I52)&lt;&gt;64,LEN(J52)&lt;&gt;64),"SHA304长度应为64",IF(COUNTIF('学校信息'!$A$4:$A$53,E52)=0,"学校ID不存在",IF(COUNTIFS($E$4:$E$503,E52,$A$4:$A$503,A52)&gt;1,"同校全局题目ID重复",IF(COUNTIFS($E$4:$E$503,E52,$H$4:$H$503,H52)&gt;1,"同校本地PID重复",IF(OR(COUNTIFS($A$4:$A$503,A52,$B$4:$B$503,"&lt;&gt;"&amp;B52)&gt;0,COUNTIFS($A$4:$A$503,A52,$C$4:$C$503,"&lt;&gt;"&amp;C52)&gt;0,COUNTIFS($A$4:$A$503,A52,$D$4:$D$503,"&lt;&gt;"&amp;D52)&gt;0,COUNTIFS($A$4:$A$503,A52,$I$4:$I$503,"&lt;&gt;"&amp;I52)&gt;0,COUNTIFS($A$4:$A$503,A52,$J$4:$J$503,"&lt;&gt;"&amp;J52)&gt;0,COUNTIFS($A$4:$A$503,A52,$K$4:$K$503,"&lt;&gt;"&amp;K52)&gt;0,COUNTIFS($A$4:$A$503,A52,$L$4:$L$503,"&lt;&gt;"&amp;L52)&gt;0),"跨校题目配置不一致","通过")))))))</x:f>
      </x:c>
    </x:row>
    <x:row r="53" ht="22" customHeight="1">
      <x:c r="A53" s="70"/>
      <x:c r="B53" s="70"/>
      <x:c r="C53" s="28"/>
      <x:c r="D53" s="28"/>
      <x:c r="E53" s="70"/>
      <x:c r="F53" s="71" t="str">
        <x:f>IFERROR(INDEX('学校信息'!$F$4:$F$53,MATCH(E53,'学校信息'!$A$4:$A$53,0)),"")</x:f>
      </x:c>
      <x:c r="G53" s="71" t="str">
        <x:f>IFERROR(INDEX('学校信息'!$G$4:$G$53,MATCH(E53,'学校信息'!$A$4:$A$53,0)),"")</x:f>
      </x:c>
      <x:c r="H53" s="70"/>
      <x:c r="I53" s="70"/>
      <x:c r="J53" s="70"/>
      <x:c r="K53" s="28"/>
      <x:c r="L53" s="28"/>
      <x:c r="M53" s="60" t="str">
        <x:f>IF(COUNTA(A53:E53)+COUNTA(H53:L53)=0,"",IF(OR(A53="",B53="",C53="",D53="",E53="",H53="",I53="",J53="",K53="",L53=""),"缺少必填项",IF(OR(LEN(I53)&lt;&gt;64,LEN(J53)&lt;&gt;64),"SHA305长度应为64",IF(COUNTIF('学校信息'!$A$4:$A$53,E53)=0,"学校ID不存在",IF(COUNTIFS($E$4:$E$503,E53,$A$4:$A$503,A53)&gt;1,"同校全局题目ID重复",IF(COUNTIFS($E$4:$E$503,E53,$H$4:$H$503,H53)&gt;1,"同校本地PID重复",IF(OR(COUNTIFS($A$4:$A$503,A53,$B$4:$B$503,"&lt;&gt;"&amp;B53)&gt;0,COUNTIFS($A$4:$A$503,A53,$C$4:$C$503,"&lt;&gt;"&amp;C53)&gt;0,COUNTIFS($A$4:$A$503,A53,$D$4:$D$503,"&lt;&gt;"&amp;D53)&gt;0,COUNTIFS($A$4:$A$503,A53,$I$4:$I$503,"&lt;&gt;"&amp;I53)&gt;0,COUNTIFS($A$4:$A$503,A53,$J$4:$J$503,"&lt;&gt;"&amp;J53)&gt;0,COUNTIFS($A$4:$A$503,A53,$K$4:$K$503,"&lt;&gt;"&amp;K53)&gt;0,COUNTIFS($A$4:$A$503,A53,$L$4:$L$503,"&lt;&gt;"&amp;L53)&gt;0),"跨校题目配置不一致","通过")))))))</x:f>
      </x:c>
    </x:row>
    <x:row r="54" ht="22" customHeight="1">
      <x:c r="A54" s="70"/>
      <x:c r="B54" s="70"/>
      <x:c r="C54" s="28"/>
      <x:c r="D54" s="28"/>
      <x:c r="E54" s="70"/>
      <x:c r="F54" s="71" t="str">
        <x:f>IFERROR(INDEX('学校信息'!$F$4:$F$53,MATCH(E54,'学校信息'!$A$4:$A$53,0)),"")</x:f>
      </x:c>
      <x:c r="G54" s="71" t="str">
        <x:f>IFERROR(INDEX('学校信息'!$G$4:$G$53,MATCH(E54,'学校信息'!$A$4:$A$53,0)),"")</x:f>
      </x:c>
      <x:c r="H54" s="70"/>
      <x:c r="I54" s="70"/>
      <x:c r="J54" s="70"/>
      <x:c r="K54" s="28"/>
      <x:c r="L54" s="28"/>
      <x:c r="M54" s="60" t="str">
        <x:f>IF(COUNTA(A54:E54)+COUNTA(H54:L54)=0,"",IF(OR(A54="",B54="",C54="",D54="",E54="",H54="",I54="",J54="",K54="",L54=""),"缺少必填项",IF(OR(LEN(I54)&lt;&gt;64,LEN(J54)&lt;&gt;64),"SHA306长度应为64",IF(COUNTIF('学校信息'!$A$4:$A$53,E54)=0,"学校ID不存在",IF(COUNTIFS($E$4:$E$503,E54,$A$4:$A$503,A54)&gt;1,"同校全局题目ID重复",IF(COUNTIFS($E$4:$E$503,E54,$H$4:$H$503,H54)&gt;1,"同校本地PID重复",IF(OR(COUNTIFS($A$4:$A$503,A54,$B$4:$B$503,"&lt;&gt;"&amp;B54)&gt;0,COUNTIFS($A$4:$A$503,A54,$C$4:$C$503,"&lt;&gt;"&amp;C54)&gt;0,COUNTIFS($A$4:$A$503,A54,$D$4:$D$503,"&lt;&gt;"&amp;D54)&gt;0,COUNTIFS($A$4:$A$503,A54,$I$4:$I$503,"&lt;&gt;"&amp;I54)&gt;0,COUNTIFS($A$4:$A$503,A54,$J$4:$J$503,"&lt;&gt;"&amp;J54)&gt;0,COUNTIFS($A$4:$A$503,A54,$K$4:$K$503,"&lt;&gt;"&amp;K54)&gt;0,COUNTIFS($A$4:$A$503,A54,$L$4:$L$503,"&lt;&gt;"&amp;L54)&gt;0),"跨校题目配置不一致","通过")))))))</x:f>
      </x:c>
    </x:row>
    <x:row r="55" ht="22" customHeight="1">
      <x:c r="A55" s="70"/>
      <x:c r="B55" s="70"/>
      <x:c r="C55" s="28"/>
      <x:c r="D55" s="28"/>
      <x:c r="E55" s="70"/>
      <x:c r="F55" s="71" t="str">
        <x:f>IFERROR(INDEX('学校信息'!$F$4:$F$53,MATCH(E55,'学校信息'!$A$4:$A$53,0)),"")</x:f>
      </x:c>
      <x:c r="G55" s="71" t="str">
        <x:f>IFERROR(INDEX('学校信息'!$G$4:$G$53,MATCH(E55,'学校信息'!$A$4:$A$53,0)),"")</x:f>
      </x:c>
      <x:c r="H55" s="70"/>
      <x:c r="I55" s="70"/>
      <x:c r="J55" s="70"/>
      <x:c r="K55" s="28"/>
      <x:c r="L55" s="28"/>
      <x:c r="M55" s="60" t="str">
        <x:f>IF(COUNTA(A55:E55)+COUNTA(H55:L55)=0,"",IF(OR(A55="",B55="",C55="",D55="",E55="",H55="",I55="",J55="",K55="",L55=""),"缺少必填项",IF(OR(LEN(I55)&lt;&gt;64,LEN(J55)&lt;&gt;64),"SHA307长度应为64",IF(COUNTIF('学校信息'!$A$4:$A$53,E55)=0,"学校ID不存在",IF(COUNTIFS($E$4:$E$503,E55,$A$4:$A$503,A55)&gt;1,"同校全局题目ID重复",IF(COUNTIFS($E$4:$E$503,E55,$H$4:$H$503,H55)&gt;1,"同校本地PID重复",IF(OR(COUNTIFS($A$4:$A$503,A55,$B$4:$B$503,"&lt;&gt;"&amp;B55)&gt;0,COUNTIFS($A$4:$A$503,A55,$C$4:$C$503,"&lt;&gt;"&amp;C55)&gt;0,COUNTIFS($A$4:$A$503,A55,$D$4:$D$503,"&lt;&gt;"&amp;D55)&gt;0,COUNTIFS($A$4:$A$503,A55,$I$4:$I$503,"&lt;&gt;"&amp;I55)&gt;0,COUNTIFS($A$4:$A$503,A55,$J$4:$J$503,"&lt;&gt;"&amp;J55)&gt;0,COUNTIFS($A$4:$A$503,A55,$K$4:$K$503,"&lt;&gt;"&amp;K55)&gt;0,COUNTIFS($A$4:$A$503,A55,$L$4:$L$503,"&lt;&gt;"&amp;L55)&gt;0),"跨校题目配置不一致","通过")))))))</x:f>
      </x:c>
    </x:row>
    <x:row r="56" ht="22" customHeight="1">
      <x:c r="A56" s="70"/>
      <x:c r="B56" s="70"/>
      <x:c r="C56" s="28"/>
      <x:c r="D56" s="28"/>
      <x:c r="E56" s="70"/>
      <x:c r="F56" s="71" t="str">
        <x:f>IFERROR(INDEX('学校信息'!$F$4:$F$53,MATCH(E56,'学校信息'!$A$4:$A$53,0)),"")</x:f>
      </x:c>
      <x:c r="G56" s="71" t="str">
        <x:f>IFERROR(INDEX('学校信息'!$G$4:$G$53,MATCH(E56,'学校信息'!$A$4:$A$53,0)),"")</x:f>
      </x:c>
      <x:c r="H56" s="70"/>
      <x:c r="I56" s="70"/>
      <x:c r="J56" s="70"/>
      <x:c r="K56" s="28"/>
      <x:c r="L56" s="28"/>
      <x:c r="M56" s="60" t="str">
        <x:f>IF(COUNTA(A56:E56)+COUNTA(H56:L56)=0,"",IF(OR(A56="",B56="",C56="",D56="",E56="",H56="",I56="",J56="",K56="",L56=""),"缺少必填项",IF(OR(LEN(I56)&lt;&gt;64,LEN(J56)&lt;&gt;64),"SHA308长度应为64",IF(COUNTIF('学校信息'!$A$4:$A$53,E56)=0,"学校ID不存在",IF(COUNTIFS($E$4:$E$503,E56,$A$4:$A$503,A56)&gt;1,"同校全局题目ID重复",IF(COUNTIFS($E$4:$E$503,E56,$H$4:$H$503,H56)&gt;1,"同校本地PID重复",IF(OR(COUNTIFS($A$4:$A$503,A56,$B$4:$B$503,"&lt;&gt;"&amp;B56)&gt;0,COUNTIFS($A$4:$A$503,A56,$C$4:$C$503,"&lt;&gt;"&amp;C56)&gt;0,COUNTIFS($A$4:$A$503,A56,$D$4:$D$503,"&lt;&gt;"&amp;D56)&gt;0,COUNTIFS($A$4:$A$503,A56,$I$4:$I$503,"&lt;&gt;"&amp;I56)&gt;0,COUNTIFS($A$4:$A$503,A56,$J$4:$J$503,"&lt;&gt;"&amp;J56)&gt;0,COUNTIFS($A$4:$A$503,A56,$K$4:$K$503,"&lt;&gt;"&amp;K56)&gt;0,COUNTIFS($A$4:$A$503,A56,$L$4:$L$503,"&lt;&gt;"&amp;L56)&gt;0),"跨校题目配置不一致","通过")))))))</x:f>
      </x:c>
    </x:row>
    <x:row r="57" ht="22" customHeight="1">
      <x:c r="A57" s="70"/>
      <x:c r="B57" s="70"/>
      <x:c r="C57" s="28"/>
      <x:c r="D57" s="28"/>
      <x:c r="E57" s="70"/>
      <x:c r="F57" s="71" t="str">
        <x:f>IFERROR(INDEX('学校信息'!$F$4:$F$53,MATCH(E57,'学校信息'!$A$4:$A$53,0)),"")</x:f>
      </x:c>
      <x:c r="G57" s="71" t="str">
        <x:f>IFERROR(INDEX('学校信息'!$G$4:$G$53,MATCH(E57,'学校信息'!$A$4:$A$53,0)),"")</x:f>
      </x:c>
      <x:c r="H57" s="70"/>
      <x:c r="I57" s="70"/>
      <x:c r="J57" s="70"/>
      <x:c r="K57" s="28"/>
      <x:c r="L57" s="28"/>
      <x:c r="M57" s="60" t="str">
        <x:f>IF(COUNTA(A57:E57)+COUNTA(H57:L57)=0,"",IF(OR(A57="",B57="",C57="",D57="",E57="",H57="",I57="",J57="",K57="",L57=""),"缺少必填项",IF(OR(LEN(I57)&lt;&gt;64,LEN(J57)&lt;&gt;64),"SHA309长度应为64",IF(COUNTIF('学校信息'!$A$4:$A$53,E57)=0,"学校ID不存在",IF(COUNTIFS($E$4:$E$503,E57,$A$4:$A$503,A57)&gt;1,"同校全局题目ID重复",IF(COUNTIFS($E$4:$E$503,E57,$H$4:$H$503,H57)&gt;1,"同校本地PID重复",IF(OR(COUNTIFS($A$4:$A$503,A57,$B$4:$B$503,"&lt;&gt;"&amp;B57)&gt;0,COUNTIFS($A$4:$A$503,A57,$C$4:$C$503,"&lt;&gt;"&amp;C57)&gt;0,COUNTIFS($A$4:$A$503,A57,$D$4:$D$503,"&lt;&gt;"&amp;D57)&gt;0,COUNTIFS($A$4:$A$503,A57,$I$4:$I$503,"&lt;&gt;"&amp;I57)&gt;0,COUNTIFS($A$4:$A$503,A57,$J$4:$J$503,"&lt;&gt;"&amp;J57)&gt;0,COUNTIFS($A$4:$A$503,A57,$K$4:$K$503,"&lt;&gt;"&amp;K57)&gt;0,COUNTIFS($A$4:$A$503,A57,$L$4:$L$503,"&lt;&gt;"&amp;L57)&gt;0),"跨校题目配置不一致","通过")))))))</x:f>
      </x:c>
    </x:row>
    <x:row r="58" ht="22" customHeight="1">
      <x:c r="A58" s="70"/>
      <x:c r="B58" s="70"/>
      <x:c r="C58" s="28"/>
      <x:c r="D58" s="28"/>
      <x:c r="E58" s="70"/>
      <x:c r="F58" s="71" t="str">
        <x:f>IFERROR(INDEX('学校信息'!$F$4:$F$53,MATCH(E58,'学校信息'!$A$4:$A$53,0)),"")</x:f>
      </x:c>
      <x:c r="G58" s="71" t="str">
        <x:f>IFERROR(INDEX('学校信息'!$G$4:$G$53,MATCH(E58,'学校信息'!$A$4:$A$53,0)),"")</x:f>
      </x:c>
      <x:c r="H58" s="70"/>
      <x:c r="I58" s="70"/>
      <x:c r="J58" s="70"/>
      <x:c r="K58" s="28"/>
      <x:c r="L58" s="28"/>
      <x:c r="M58" s="60" t="str">
        <x:f>IF(COUNTA(A58:E58)+COUNTA(H58:L58)=0,"",IF(OR(A58="",B58="",C58="",D58="",E58="",H58="",I58="",J58="",K58="",L58=""),"缺少必填项",IF(OR(LEN(I58)&lt;&gt;64,LEN(J58)&lt;&gt;64),"SHA310长度应为64",IF(COUNTIF('学校信息'!$A$4:$A$53,E58)=0,"学校ID不存在",IF(COUNTIFS($E$4:$E$503,E58,$A$4:$A$503,A58)&gt;1,"同校全局题目ID重复",IF(COUNTIFS($E$4:$E$503,E58,$H$4:$H$503,H58)&gt;1,"同校本地PID重复",IF(OR(COUNTIFS($A$4:$A$503,A58,$B$4:$B$503,"&lt;&gt;"&amp;B58)&gt;0,COUNTIFS($A$4:$A$503,A58,$C$4:$C$503,"&lt;&gt;"&amp;C58)&gt;0,COUNTIFS($A$4:$A$503,A58,$D$4:$D$503,"&lt;&gt;"&amp;D58)&gt;0,COUNTIFS($A$4:$A$503,A58,$I$4:$I$503,"&lt;&gt;"&amp;I58)&gt;0,COUNTIFS($A$4:$A$503,A58,$J$4:$J$503,"&lt;&gt;"&amp;J58)&gt;0,COUNTIFS($A$4:$A$503,A58,$K$4:$K$503,"&lt;&gt;"&amp;K58)&gt;0,COUNTIFS($A$4:$A$503,A58,$L$4:$L$503,"&lt;&gt;"&amp;L58)&gt;0),"跨校题目配置不一致","通过")))))))</x:f>
      </x:c>
    </x:row>
    <x:row r="59" ht="22" customHeight="1">
      <x:c r="A59" s="70"/>
      <x:c r="B59" s="70"/>
      <x:c r="C59" s="28"/>
      <x:c r="D59" s="28"/>
      <x:c r="E59" s="70"/>
      <x:c r="F59" s="71" t="str">
        <x:f>IFERROR(INDEX('学校信息'!$F$4:$F$53,MATCH(E59,'学校信息'!$A$4:$A$53,0)),"")</x:f>
      </x:c>
      <x:c r="G59" s="71" t="str">
        <x:f>IFERROR(INDEX('学校信息'!$G$4:$G$53,MATCH(E59,'学校信息'!$A$4:$A$53,0)),"")</x:f>
      </x:c>
      <x:c r="H59" s="70"/>
      <x:c r="I59" s="70"/>
      <x:c r="J59" s="70"/>
      <x:c r="K59" s="28"/>
      <x:c r="L59" s="28"/>
      <x:c r="M59" s="60" t="str">
        <x:f>IF(COUNTA(A59:E59)+COUNTA(H59:L59)=0,"",IF(OR(A59="",B59="",C59="",D59="",E59="",H59="",I59="",J59="",K59="",L59=""),"缺少必填项",IF(OR(LEN(I59)&lt;&gt;64,LEN(J59)&lt;&gt;64),"SHA311长度应为64",IF(COUNTIF('学校信息'!$A$4:$A$53,E59)=0,"学校ID不存在",IF(COUNTIFS($E$4:$E$503,E59,$A$4:$A$503,A59)&gt;1,"同校全局题目ID重复",IF(COUNTIFS($E$4:$E$503,E59,$H$4:$H$503,H59)&gt;1,"同校本地PID重复",IF(OR(COUNTIFS($A$4:$A$503,A59,$B$4:$B$503,"&lt;&gt;"&amp;B59)&gt;0,COUNTIFS($A$4:$A$503,A59,$C$4:$C$503,"&lt;&gt;"&amp;C59)&gt;0,COUNTIFS($A$4:$A$503,A59,$D$4:$D$503,"&lt;&gt;"&amp;D59)&gt;0,COUNTIFS($A$4:$A$503,A59,$I$4:$I$503,"&lt;&gt;"&amp;I59)&gt;0,COUNTIFS($A$4:$A$503,A59,$J$4:$J$503,"&lt;&gt;"&amp;J59)&gt;0,COUNTIFS($A$4:$A$503,A59,$K$4:$K$503,"&lt;&gt;"&amp;K59)&gt;0,COUNTIFS($A$4:$A$503,A59,$L$4:$L$503,"&lt;&gt;"&amp;L59)&gt;0),"跨校题目配置不一致","通过")))))))</x:f>
      </x:c>
    </x:row>
    <x:row r="60" ht="22" customHeight="1">
      <x:c r="A60" s="70"/>
      <x:c r="B60" s="70"/>
      <x:c r="C60" s="28"/>
      <x:c r="D60" s="28"/>
      <x:c r="E60" s="70"/>
      <x:c r="F60" s="71" t="str">
        <x:f>IFERROR(INDEX('学校信息'!$F$4:$F$53,MATCH(E60,'学校信息'!$A$4:$A$53,0)),"")</x:f>
      </x:c>
      <x:c r="G60" s="71" t="str">
        <x:f>IFERROR(INDEX('学校信息'!$G$4:$G$53,MATCH(E60,'学校信息'!$A$4:$A$53,0)),"")</x:f>
      </x:c>
      <x:c r="H60" s="70"/>
      <x:c r="I60" s="70"/>
      <x:c r="J60" s="70"/>
      <x:c r="K60" s="28"/>
      <x:c r="L60" s="28"/>
      <x:c r="M60" s="60" t="str">
        <x:f>IF(COUNTA(A60:E60)+COUNTA(H60:L60)=0,"",IF(OR(A60="",B60="",C60="",D60="",E60="",H60="",I60="",J60="",K60="",L60=""),"缺少必填项",IF(OR(LEN(I60)&lt;&gt;64,LEN(J60)&lt;&gt;64),"SHA312长度应为64",IF(COUNTIF('学校信息'!$A$4:$A$53,E60)=0,"学校ID不存在",IF(COUNTIFS($E$4:$E$503,E60,$A$4:$A$503,A60)&gt;1,"同校全局题目ID重复",IF(COUNTIFS($E$4:$E$503,E60,$H$4:$H$503,H60)&gt;1,"同校本地PID重复",IF(OR(COUNTIFS($A$4:$A$503,A60,$B$4:$B$503,"&lt;&gt;"&amp;B60)&gt;0,COUNTIFS($A$4:$A$503,A60,$C$4:$C$503,"&lt;&gt;"&amp;C60)&gt;0,COUNTIFS($A$4:$A$503,A60,$D$4:$D$503,"&lt;&gt;"&amp;D60)&gt;0,COUNTIFS($A$4:$A$503,A60,$I$4:$I$503,"&lt;&gt;"&amp;I60)&gt;0,COUNTIFS($A$4:$A$503,A60,$J$4:$J$503,"&lt;&gt;"&amp;J60)&gt;0,COUNTIFS($A$4:$A$503,A60,$K$4:$K$503,"&lt;&gt;"&amp;K60)&gt;0,COUNTIFS($A$4:$A$503,A60,$L$4:$L$503,"&lt;&gt;"&amp;L60)&gt;0),"跨校题目配置不一致","通过")))))))</x:f>
      </x:c>
    </x:row>
    <x:row r="61" ht="22" customHeight="1">
      <x:c r="A61" s="70"/>
      <x:c r="B61" s="70"/>
      <x:c r="C61" s="28"/>
      <x:c r="D61" s="28"/>
      <x:c r="E61" s="70"/>
      <x:c r="F61" s="71" t="str">
        <x:f>IFERROR(INDEX('学校信息'!$F$4:$F$53,MATCH(E61,'学校信息'!$A$4:$A$53,0)),"")</x:f>
      </x:c>
      <x:c r="G61" s="71" t="str">
        <x:f>IFERROR(INDEX('学校信息'!$G$4:$G$53,MATCH(E61,'学校信息'!$A$4:$A$53,0)),"")</x:f>
      </x:c>
      <x:c r="H61" s="70"/>
      <x:c r="I61" s="70"/>
      <x:c r="J61" s="70"/>
      <x:c r="K61" s="28"/>
      <x:c r="L61" s="28"/>
      <x:c r="M61" s="60" t="str">
        <x:f>IF(COUNTA(A61:E61)+COUNTA(H61:L61)=0,"",IF(OR(A61="",B61="",C61="",D61="",E61="",H61="",I61="",J61="",K61="",L61=""),"缺少必填项",IF(OR(LEN(I61)&lt;&gt;64,LEN(J61)&lt;&gt;64),"SHA313长度应为64",IF(COUNTIF('学校信息'!$A$4:$A$53,E61)=0,"学校ID不存在",IF(COUNTIFS($E$4:$E$503,E61,$A$4:$A$503,A61)&gt;1,"同校全局题目ID重复",IF(COUNTIFS($E$4:$E$503,E61,$H$4:$H$503,H61)&gt;1,"同校本地PID重复",IF(OR(COUNTIFS($A$4:$A$503,A61,$B$4:$B$503,"&lt;&gt;"&amp;B61)&gt;0,COUNTIFS($A$4:$A$503,A61,$C$4:$C$503,"&lt;&gt;"&amp;C61)&gt;0,COUNTIFS($A$4:$A$503,A61,$D$4:$D$503,"&lt;&gt;"&amp;D61)&gt;0,COUNTIFS($A$4:$A$503,A61,$I$4:$I$503,"&lt;&gt;"&amp;I61)&gt;0,COUNTIFS($A$4:$A$503,A61,$J$4:$J$503,"&lt;&gt;"&amp;J61)&gt;0,COUNTIFS($A$4:$A$503,A61,$K$4:$K$503,"&lt;&gt;"&amp;K61)&gt;0,COUNTIFS($A$4:$A$503,A61,$L$4:$L$503,"&lt;&gt;"&amp;L61)&gt;0),"跨校题目配置不一致","通过")))))))</x:f>
      </x:c>
    </x:row>
    <x:row r="62" ht="22" customHeight="1">
      <x:c r="A62" s="70"/>
      <x:c r="B62" s="70"/>
      <x:c r="C62" s="28"/>
      <x:c r="D62" s="28"/>
      <x:c r="E62" s="70"/>
      <x:c r="F62" s="71" t="str">
        <x:f>IFERROR(INDEX('学校信息'!$F$4:$F$53,MATCH(E62,'学校信息'!$A$4:$A$53,0)),"")</x:f>
      </x:c>
      <x:c r="G62" s="71" t="str">
        <x:f>IFERROR(INDEX('学校信息'!$G$4:$G$53,MATCH(E62,'学校信息'!$A$4:$A$53,0)),"")</x:f>
      </x:c>
      <x:c r="H62" s="70"/>
      <x:c r="I62" s="70"/>
      <x:c r="J62" s="70"/>
      <x:c r="K62" s="28"/>
      <x:c r="L62" s="28"/>
      <x:c r="M62" s="60" t="str">
        <x:f>IF(COUNTA(A62:E62)+COUNTA(H62:L62)=0,"",IF(OR(A62="",B62="",C62="",D62="",E62="",H62="",I62="",J62="",K62="",L62=""),"缺少必填项",IF(OR(LEN(I62)&lt;&gt;64,LEN(J62)&lt;&gt;64),"SHA314长度应为64",IF(COUNTIF('学校信息'!$A$4:$A$53,E62)=0,"学校ID不存在",IF(COUNTIFS($E$4:$E$503,E62,$A$4:$A$503,A62)&gt;1,"同校全局题目ID重复",IF(COUNTIFS($E$4:$E$503,E62,$H$4:$H$503,H62)&gt;1,"同校本地PID重复",IF(OR(COUNTIFS($A$4:$A$503,A62,$B$4:$B$503,"&lt;&gt;"&amp;B62)&gt;0,COUNTIFS($A$4:$A$503,A62,$C$4:$C$503,"&lt;&gt;"&amp;C62)&gt;0,COUNTIFS($A$4:$A$503,A62,$D$4:$D$503,"&lt;&gt;"&amp;D62)&gt;0,COUNTIFS($A$4:$A$503,A62,$I$4:$I$503,"&lt;&gt;"&amp;I62)&gt;0,COUNTIFS($A$4:$A$503,A62,$J$4:$J$503,"&lt;&gt;"&amp;J62)&gt;0,COUNTIFS($A$4:$A$503,A62,$K$4:$K$503,"&lt;&gt;"&amp;K62)&gt;0,COUNTIFS($A$4:$A$503,A62,$L$4:$L$503,"&lt;&gt;"&amp;L62)&gt;0),"跨校题目配置不一致","通过")))))))</x:f>
      </x:c>
    </x:row>
    <x:row r="63" ht="22" customHeight="1">
      <x:c r="A63" s="70"/>
      <x:c r="B63" s="70"/>
      <x:c r="C63" s="28"/>
      <x:c r="D63" s="28"/>
      <x:c r="E63" s="70"/>
      <x:c r="F63" s="71" t="str">
        <x:f>IFERROR(INDEX('学校信息'!$F$4:$F$53,MATCH(E63,'学校信息'!$A$4:$A$53,0)),"")</x:f>
      </x:c>
      <x:c r="G63" s="71" t="str">
        <x:f>IFERROR(INDEX('学校信息'!$G$4:$G$53,MATCH(E63,'学校信息'!$A$4:$A$53,0)),"")</x:f>
      </x:c>
      <x:c r="H63" s="70"/>
      <x:c r="I63" s="70"/>
      <x:c r="J63" s="70"/>
      <x:c r="K63" s="28"/>
      <x:c r="L63" s="28"/>
      <x:c r="M63" s="60" t="str">
        <x:f>IF(COUNTA(A63:E63)+COUNTA(H63:L63)=0,"",IF(OR(A63="",B63="",C63="",D63="",E63="",H63="",I63="",J63="",K63="",L63=""),"缺少必填项",IF(OR(LEN(I63)&lt;&gt;64,LEN(J63)&lt;&gt;64),"SHA315长度应为64",IF(COUNTIF('学校信息'!$A$4:$A$53,E63)=0,"学校ID不存在",IF(COUNTIFS($E$4:$E$503,E63,$A$4:$A$503,A63)&gt;1,"同校全局题目ID重复",IF(COUNTIFS($E$4:$E$503,E63,$H$4:$H$503,H63)&gt;1,"同校本地PID重复",IF(OR(COUNTIFS($A$4:$A$503,A63,$B$4:$B$503,"&lt;&gt;"&amp;B63)&gt;0,COUNTIFS($A$4:$A$503,A63,$C$4:$C$503,"&lt;&gt;"&amp;C63)&gt;0,COUNTIFS($A$4:$A$503,A63,$D$4:$D$503,"&lt;&gt;"&amp;D63)&gt;0,COUNTIFS($A$4:$A$503,A63,$I$4:$I$503,"&lt;&gt;"&amp;I63)&gt;0,COUNTIFS($A$4:$A$503,A63,$J$4:$J$503,"&lt;&gt;"&amp;J63)&gt;0,COUNTIFS($A$4:$A$503,A63,$K$4:$K$503,"&lt;&gt;"&amp;K63)&gt;0,COUNTIFS($A$4:$A$503,A63,$L$4:$L$503,"&lt;&gt;"&amp;L63)&gt;0),"跨校题目配置不一致","通过")))))))</x:f>
      </x:c>
    </x:row>
    <x:row r="64" ht="22" customHeight="1">
      <x:c r="A64" s="70"/>
      <x:c r="B64" s="70"/>
      <x:c r="C64" s="28"/>
      <x:c r="D64" s="28"/>
      <x:c r="E64" s="70"/>
      <x:c r="F64" s="71" t="str">
        <x:f>IFERROR(INDEX('学校信息'!$F$4:$F$53,MATCH(E64,'学校信息'!$A$4:$A$53,0)),"")</x:f>
      </x:c>
      <x:c r="G64" s="71" t="str">
        <x:f>IFERROR(INDEX('学校信息'!$G$4:$G$53,MATCH(E64,'学校信息'!$A$4:$A$53,0)),"")</x:f>
      </x:c>
      <x:c r="H64" s="70"/>
      <x:c r="I64" s="70"/>
      <x:c r="J64" s="70"/>
      <x:c r="K64" s="28"/>
      <x:c r="L64" s="28"/>
      <x:c r="M64" s="60" t="str">
        <x:f>IF(COUNTA(A64:E64)+COUNTA(H64:L64)=0,"",IF(OR(A64="",B64="",C64="",D64="",E64="",H64="",I64="",J64="",K64="",L64=""),"缺少必填项",IF(OR(LEN(I64)&lt;&gt;64,LEN(J64)&lt;&gt;64),"SHA316长度应为64",IF(COUNTIF('学校信息'!$A$4:$A$53,E64)=0,"学校ID不存在",IF(COUNTIFS($E$4:$E$503,E64,$A$4:$A$503,A64)&gt;1,"同校全局题目ID重复",IF(COUNTIFS($E$4:$E$503,E64,$H$4:$H$503,H64)&gt;1,"同校本地PID重复",IF(OR(COUNTIFS($A$4:$A$503,A64,$B$4:$B$503,"&lt;&gt;"&amp;B64)&gt;0,COUNTIFS($A$4:$A$503,A64,$C$4:$C$503,"&lt;&gt;"&amp;C64)&gt;0,COUNTIFS($A$4:$A$503,A64,$D$4:$D$503,"&lt;&gt;"&amp;D64)&gt;0,COUNTIFS($A$4:$A$503,A64,$I$4:$I$503,"&lt;&gt;"&amp;I64)&gt;0,COUNTIFS($A$4:$A$503,A64,$J$4:$J$503,"&lt;&gt;"&amp;J64)&gt;0,COUNTIFS($A$4:$A$503,A64,$K$4:$K$503,"&lt;&gt;"&amp;K64)&gt;0,COUNTIFS($A$4:$A$503,A64,$L$4:$L$503,"&lt;&gt;"&amp;L64)&gt;0),"跨校题目配置不一致","通过")))))))</x:f>
      </x:c>
    </x:row>
    <x:row r="65" ht="22" customHeight="1">
      <x:c r="A65" s="70"/>
      <x:c r="B65" s="70"/>
      <x:c r="C65" s="28"/>
      <x:c r="D65" s="28"/>
      <x:c r="E65" s="70"/>
      <x:c r="F65" s="71" t="str">
        <x:f>IFERROR(INDEX('学校信息'!$F$4:$F$53,MATCH(E65,'学校信息'!$A$4:$A$53,0)),"")</x:f>
      </x:c>
      <x:c r="G65" s="71" t="str">
        <x:f>IFERROR(INDEX('学校信息'!$G$4:$G$53,MATCH(E65,'学校信息'!$A$4:$A$53,0)),"")</x:f>
      </x:c>
      <x:c r="H65" s="70"/>
      <x:c r="I65" s="70"/>
      <x:c r="J65" s="70"/>
      <x:c r="K65" s="28"/>
      <x:c r="L65" s="28"/>
      <x:c r="M65" s="60" t="str">
        <x:f>IF(COUNTA(A65:E65)+COUNTA(H65:L65)=0,"",IF(OR(A65="",B65="",C65="",D65="",E65="",H65="",I65="",J65="",K65="",L65=""),"缺少必填项",IF(OR(LEN(I65)&lt;&gt;64,LEN(J65)&lt;&gt;64),"SHA317长度应为64",IF(COUNTIF('学校信息'!$A$4:$A$53,E65)=0,"学校ID不存在",IF(COUNTIFS($E$4:$E$503,E65,$A$4:$A$503,A65)&gt;1,"同校全局题目ID重复",IF(COUNTIFS($E$4:$E$503,E65,$H$4:$H$503,H65)&gt;1,"同校本地PID重复",IF(OR(COUNTIFS($A$4:$A$503,A65,$B$4:$B$503,"&lt;&gt;"&amp;B65)&gt;0,COUNTIFS($A$4:$A$503,A65,$C$4:$C$503,"&lt;&gt;"&amp;C65)&gt;0,COUNTIFS($A$4:$A$503,A65,$D$4:$D$503,"&lt;&gt;"&amp;D65)&gt;0,COUNTIFS($A$4:$A$503,A65,$I$4:$I$503,"&lt;&gt;"&amp;I65)&gt;0,COUNTIFS($A$4:$A$503,A65,$J$4:$J$503,"&lt;&gt;"&amp;J65)&gt;0,COUNTIFS($A$4:$A$503,A65,$K$4:$K$503,"&lt;&gt;"&amp;K65)&gt;0,COUNTIFS($A$4:$A$503,A65,$L$4:$L$503,"&lt;&gt;"&amp;L65)&gt;0),"跨校题目配置不一致","通过")))))))</x:f>
      </x:c>
    </x:row>
    <x:row r="66" ht="22" customHeight="1">
      <x:c r="A66" s="70"/>
      <x:c r="B66" s="70"/>
      <x:c r="C66" s="28"/>
      <x:c r="D66" s="28"/>
      <x:c r="E66" s="70"/>
      <x:c r="F66" s="71" t="str">
        <x:f>IFERROR(INDEX('学校信息'!$F$4:$F$53,MATCH(E66,'学校信息'!$A$4:$A$53,0)),"")</x:f>
      </x:c>
      <x:c r="G66" s="71" t="str">
        <x:f>IFERROR(INDEX('学校信息'!$G$4:$G$53,MATCH(E66,'学校信息'!$A$4:$A$53,0)),"")</x:f>
      </x:c>
      <x:c r="H66" s="70"/>
      <x:c r="I66" s="70"/>
      <x:c r="J66" s="70"/>
      <x:c r="K66" s="28"/>
      <x:c r="L66" s="28"/>
      <x:c r="M66" s="60" t="str">
        <x:f>IF(COUNTA(A66:E66)+COUNTA(H66:L66)=0,"",IF(OR(A66="",B66="",C66="",D66="",E66="",H66="",I66="",J66="",K66="",L66=""),"缺少必填项",IF(OR(LEN(I66)&lt;&gt;64,LEN(J66)&lt;&gt;64),"SHA318长度应为64",IF(COUNTIF('学校信息'!$A$4:$A$53,E66)=0,"学校ID不存在",IF(COUNTIFS($E$4:$E$503,E66,$A$4:$A$503,A66)&gt;1,"同校全局题目ID重复",IF(COUNTIFS($E$4:$E$503,E66,$H$4:$H$503,H66)&gt;1,"同校本地PID重复",IF(OR(COUNTIFS($A$4:$A$503,A66,$B$4:$B$503,"&lt;&gt;"&amp;B66)&gt;0,COUNTIFS($A$4:$A$503,A66,$C$4:$C$503,"&lt;&gt;"&amp;C66)&gt;0,COUNTIFS($A$4:$A$503,A66,$D$4:$D$503,"&lt;&gt;"&amp;D66)&gt;0,COUNTIFS($A$4:$A$503,A66,$I$4:$I$503,"&lt;&gt;"&amp;I66)&gt;0,COUNTIFS($A$4:$A$503,A66,$J$4:$J$503,"&lt;&gt;"&amp;J66)&gt;0,COUNTIFS($A$4:$A$503,A66,$K$4:$K$503,"&lt;&gt;"&amp;K66)&gt;0,COUNTIFS($A$4:$A$503,A66,$L$4:$L$503,"&lt;&gt;"&amp;L66)&gt;0),"跨校题目配置不一致","通过")))))))</x:f>
      </x:c>
    </x:row>
    <x:row r="67" ht="22" customHeight="1">
      <x:c r="A67" s="70"/>
      <x:c r="B67" s="70"/>
      <x:c r="C67" s="28"/>
      <x:c r="D67" s="28"/>
      <x:c r="E67" s="70"/>
      <x:c r="F67" s="71" t="str">
        <x:f>IFERROR(INDEX('学校信息'!$F$4:$F$53,MATCH(E67,'学校信息'!$A$4:$A$53,0)),"")</x:f>
      </x:c>
      <x:c r="G67" s="71" t="str">
        <x:f>IFERROR(INDEX('学校信息'!$G$4:$G$53,MATCH(E67,'学校信息'!$A$4:$A$53,0)),"")</x:f>
      </x:c>
      <x:c r="H67" s="70"/>
      <x:c r="I67" s="70"/>
      <x:c r="J67" s="70"/>
      <x:c r="K67" s="28"/>
      <x:c r="L67" s="28"/>
      <x:c r="M67" s="60" t="str">
        <x:f>IF(COUNTA(A67:E67)+COUNTA(H67:L67)=0,"",IF(OR(A67="",B67="",C67="",D67="",E67="",H67="",I67="",J67="",K67="",L67=""),"缺少必填项",IF(OR(LEN(I67)&lt;&gt;64,LEN(J67)&lt;&gt;64),"SHA319长度应为64",IF(COUNTIF('学校信息'!$A$4:$A$53,E67)=0,"学校ID不存在",IF(COUNTIFS($E$4:$E$503,E67,$A$4:$A$503,A67)&gt;1,"同校全局题目ID重复",IF(COUNTIFS($E$4:$E$503,E67,$H$4:$H$503,H67)&gt;1,"同校本地PID重复",IF(OR(COUNTIFS($A$4:$A$503,A67,$B$4:$B$503,"&lt;&gt;"&amp;B67)&gt;0,COUNTIFS($A$4:$A$503,A67,$C$4:$C$503,"&lt;&gt;"&amp;C67)&gt;0,COUNTIFS($A$4:$A$503,A67,$D$4:$D$503,"&lt;&gt;"&amp;D67)&gt;0,COUNTIFS($A$4:$A$503,A67,$I$4:$I$503,"&lt;&gt;"&amp;I67)&gt;0,COUNTIFS($A$4:$A$503,A67,$J$4:$J$503,"&lt;&gt;"&amp;J67)&gt;0,COUNTIFS($A$4:$A$503,A67,$K$4:$K$503,"&lt;&gt;"&amp;K67)&gt;0,COUNTIFS($A$4:$A$503,A67,$L$4:$L$503,"&lt;&gt;"&amp;L67)&gt;0),"跨校题目配置不一致","通过")))))))</x:f>
      </x:c>
    </x:row>
    <x:row r="68" ht="22" customHeight="1">
      <x:c r="A68" s="70"/>
      <x:c r="B68" s="70"/>
      <x:c r="C68" s="28"/>
      <x:c r="D68" s="28"/>
      <x:c r="E68" s="70"/>
      <x:c r="F68" s="71" t="str">
        <x:f>IFERROR(INDEX('学校信息'!$F$4:$F$53,MATCH(E68,'学校信息'!$A$4:$A$53,0)),"")</x:f>
      </x:c>
      <x:c r="G68" s="71" t="str">
        <x:f>IFERROR(INDEX('学校信息'!$G$4:$G$53,MATCH(E68,'学校信息'!$A$4:$A$53,0)),"")</x:f>
      </x:c>
      <x:c r="H68" s="70"/>
      <x:c r="I68" s="70"/>
      <x:c r="J68" s="70"/>
      <x:c r="K68" s="28"/>
      <x:c r="L68" s="28"/>
      <x:c r="M68" s="60" t="str">
        <x:f>IF(COUNTA(A68:E68)+COUNTA(H68:L68)=0,"",IF(OR(A68="",B68="",C68="",D68="",E68="",H68="",I68="",J68="",K68="",L68=""),"缺少必填项",IF(OR(LEN(I68)&lt;&gt;64,LEN(J68)&lt;&gt;64),"SHA320长度应为64",IF(COUNTIF('学校信息'!$A$4:$A$53,E68)=0,"学校ID不存在",IF(COUNTIFS($E$4:$E$503,E68,$A$4:$A$503,A68)&gt;1,"同校全局题目ID重复",IF(COUNTIFS($E$4:$E$503,E68,$H$4:$H$503,H68)&gt;1,"同校本地PID重复",IF(OR(COUNTIFS($A$4:$A$503,A68,$B$4:$B$503,"&lt;&gt;"&amp;B68)&gt;0,COUNTIFS($A$4:$A$503,A68,$C$4:$C$503,"&lt;&gt;"&amp;C68)&gt;0,COUNTIFS($A$4:$A$503,A68,$D$4:$D$503,"&lt;&gt;"&amp;D68)&gt;0,COUNTIFS($A$4:$A$503,A68,$I$4:$I$503,"&lt;&gt;"&amp;I68)&gt;0,COUNTIFS($A$4:$A$503,A68,$J$4:$J$503,"&lt;&gt;"&amp;J68)&gt;0,COUNTIFS($A$4:$A$503,A68,$K$4:$K$503,"&lt;&gt;"&amp;K68)&gt;0,COUNTIFS($A$4:$A$503,A68,$L$4:$L$503,"&lt;&gt;"&amp;L68)&gt;0),"跨校题目配置不一致","通过")))))))</x:f>
      </x:c>
    </x:row>
    <x:row r="69" ht="22" customHeight="1">
      <x:c r="A69" s="70"/>
      <x:c r="B69" s="70"/>
      <x:c r="C69" s="28"/>
      <x:c r="D69" s="28"/>
      <x:c r="E69" s="70"/>
      <x:c r="F69" s="71" t="str">
        <x:f>IFERROR(INDEX('学校信息'!$F$4:$F$53,MATCH(E69,'学校信息'!$A$4:$A$53,0)),"")</x:f>
      </x:c>
      <x:c r="G69" s="71" t="str">
        <x:f>IFERROR(INDEX('学校信息'!$G$4:$G$53,MATCH(E69,'学校信息'!$A$4:$A$53,0)),"")</x:f>
      </x:c>
      <x:c r="H69" s="70"/>
      <x:c r="I69" s="70"/>
      <x:c r="J69" s="70"/>
      <x:c r="K69" s="28"/>
      <x:c r="L69" s="28"/>
      <x:c r="M69" s="60" t="str">
        <x:f>IF(COUNTA(A69:E69)+COUNTA(H69:L69)=0,"",IF(OR(A69="",B69="",C69="",D69="",E69="",H69="",I69="",J69="",K69="",L69=""),"缺少必填项",IF(OR(LEN(I69)&lt;&gt;64,LEN(J69)&lt;&gt;64),"SHA321长度应为64",IF(COUNTIF('学校信息'!$A$4:$A$53,E69)=0,"学校ID不存在",IF(COUNTIFS($E$4:$E$503,E69,$A$4:$A$503,A69)&gt;1,"同校全局题目ID重复",IF(COUNTIFS($E$4:$E$503,E69,$H$4:$H$503,H69)&gt;1,"同校本地PID重复",IF(OR(COUNTIFS($A$4:$A$503,A69,$B$4:$B$503,"&lt;&gt;"&amp;B69)&gt;0,COUNTIFS($A$4:$A$503,A69,$C$4:$C$503,"&lt;&gt;"&amp;C69)&gt;0,COUNTIFS($A$4:$A$503,A69,$D$4:$D$503,"&lt;&gt;"&amp;D69)&gt;0,COUNTIFS($A$4:$A$503,A69,$I$4:$I$503,"&lt;&gt;"&amp;I69)&gt;0,COUNTIFS($A$4:$A$503,A69,$J$4:$J$503,"&lt;&gt;"&amp;J69)&gt;0,COUNTIFS($A$4:$A$503,A69,$K$4:$K$503,"&lt;&gt;"&amp;K69)&gt;0,COUNTIFS($A$4:$A$503,A69,$L$4:$L$503,"&lt;&gt;"&amp;L69)&gt;0),"跨校题目配置不一致","通过")))))))</x:f>
      </x:c>
    </x:row>
    <x:row r="70" ht="22" customHeight="1">
      <x:c r="A70" s="70"/>
      <x:c r="B70" s="70"/>
      <x:c r="C70" s="28"/>
      <x:c r="D70" s="28"/>
      <x:c r="E70" s="70"/>
      <x:c r="F70" s="71" t="str">
        <x:f>IFERROR(INDEX('学校信息'!$F$4:$F$53,MATCH(E70,'学校信息'!$A$4:$A$53,0)),"")</x:f>
      </x:c>
      <x:c r="G70" s="71" t="str">
        <x:f>IFERROR(INDEX('学校信息'!$G$4:$G$53,MATCH(E70,'学校信息'!$A$4:$A$53,0)),"")</x:f>
      </x:c>
      <x:c r="H70" s="70"/>
      <x:c r="I70" s="70"/>
      <x:c r="J70" s="70"/>
      <x:c r="K70" s="28"/>
      <x:c r="L70" s="28"/>
      <x:c r="M70" s="60" t="str">
        <x:f>IF(COUNTA(A70:E70)+COUNTA(H70:L70)=0,"",IF(OR(A70="",B70="",C70="",D70="",E70="",H70="",I70="",J70="",K70="",L70=""),"缺少必填项",IF(OR(LEN(I70)&lt;&gt;64,LEN(J70)&lt;&gt;64),"SHA322长度应为64",IF(COUNTIF('学校信息'!$A$4:$A$53,E70)=0,"学校ID不存在",IF(COUNTIFS($E$4:$E$503,E70,$A$4:$A$503,A70)&gt;1,"同校全局题目ID重复",IF(COUNTIFS($E$4:$E$503,E70,$H$4:$H$503,H70)&gt;1,"同校本地PID重复",IF(OR(COUNTIFS($A$4:$A$503,A70,$B$4:$B$503,"&lt;&gt;"&amp;B70)&gt;0,COUNTIFS($A$4:$A$503,A70,$C$4:$C$503,"&lt;&gt;"&amp;C70)&gt;0,COUNTIFS($A$4:$A$503,A70,$D$4:$D$503,"&lt;&gt;"&amp;D70)&gt;0,COUNTIFS($A$4:$A$503,A70,$I$4:$I$503,"&lt;&gt;"&amp;I70)&gt;0,COUNTIFS($A$4:$A$503,A70,$J$4:$J$503,"&lt;&gt;"&amp;J70)&gt;0,COUNTIFS($A$4:$A$503,A70,$K$4:$K$503,"&lt;&gt;"&amp;K70)&gt;0,COUNTIFS($A$4:$A$503,A70,$L$4:$L$503,"&lt;&gt;"&amp;L70)&gt;0),"跨校题目配置不一致","通过")))))))</x:f>
      </x:c>
    </x:row>
    <x:row r="71" ht="22" customHeight="1">
      <x:c r="A71" s="70"/>
      <x:c r="B71" s="70"/>
      <x:c r="C71" s="28"/>
      <x:c r="D71" s="28"/>
      <x:c r="E71" s="70"/>
      <x:c r="F71" s="71" t="str">
        <x:f>IFERROR(INDEX('学校信息'!$F$4:$F$53,MATCH(E71,'学校信息'!$A$4:$A$53,0)),"")</x:f>
      </x:c>
      <x:c r="G71" s="71" t="str">
        <x:f>IFERROR(INDEX('学校信息'!$G$4:$G$53,MATCH(E71,'学校信息'!$A$4:$A$53,0)),"")</x:f>
      </x:c>
      <x:c r="H71" s="70"/>
      <x:c r="I71" s="70"/>
      <x:c r="J71" s="70"/>
      <x:c r="K71" s="28"/>
      <x:c r="L71" s="28"/>
      <x:c r="M71" s="60" t="str">
        <x:f>IF(COUNTA(A71:E71)+COUNTA(H71:L71)=0,"",IF(OR(A71="",B71="",C71="",D71="",E71="",H71="",I71="",J71="",K71="",L71=""),"缺少必填项",IF(OR(LEN(I71)&lt;&gt;64,LEN(J71)&lt;&gt;64),"SHA323长度应为64",IF(COUNTIF('学校信息'!$A$4:$A$53,E71)=0,"学校ID不存在",IF(COUNTIFS($E$4:$E$503,E71,$A$4:$A$503,A71)&gt;1,"同校全局题目ID重复",IF(COUNTIFS($E$4:$E$503,E71,$H$4:$H$503,H71)&gt;1,"同校本地PID重复",IF(OR(COUNTIFS($A$4:$A$503,A71,$B$4:$B$503,"&lt;&gt;"&amp;B71)&gt;0,COUNTIFS($A$4:$A$503,A71,$C$4:$C$503,"&lt;&gt;"&amp;C71)&gt;0,COUNTIFS($A$4:$A$503,A71,$D$4:$D$503,"&lt;&gt;"&amp;D71)&gt;0,COUNTIFS($A$4:$A$503,A71,$I$4:$I$503,"&lt;&gt;"&amp;I71)&gt;0,COUNTIFS($A$4:$A$503,A71,$J$4:$J$503,"&lt;&gt;"&amp;J71)&gt;0,COUNTIFS($A$4:$A$503,A71,$K$4:$K$503,"&lt;&gt;"&amp;K71)&gt;0,COUNTIFS($A$4:$A$503,A71,$L$4:$L$503,"&lt;&gt;"&amp;L71)&gt;0),"跨校题目配置不一致","通过")))))))</x:f>
      </x:c>
    </x:row>
    <x:row r="72" ht="22" customHeight="1">
      <x:c r="A72" s="70"/>
      <x:c r="B72" s="70"/>
      <x:c r="C72" s="28"/>
      <x:c r="D72" s="28"/>
      <x:c r="E72" s="70"/>
      <x:c r="F72" s="71" t="str">
        <x:f>IFERROR(INDEX('学校信息'!$F$4:$F$53,MATCH(E72,'学校信息'!$A$4:$A$53,0)),"")</x:f>
      </x:c>
      <x:c r="G72" s="71" t="str">
        <x:f>IFERROR(INDEX('学校信息'!$G$4:$G$53,MATCH(E72,'学校信息'!$A$4:$A$53,0)),"")</x:f>
      </x:c>
      <x:c r="H72" s="70"/>
      <x:c r="I72" s="70"/>
      <x:c r="J72" s="70"/>
      <x:c r="K72" s="28"/>
      <x:c r="L72" s="28"/>
      <x:c r="M72" s="60" t="str">
        <x:f>IF(COUNTA(A72:E72)+COUNTA(H72:L72)=0,"",IF(OR(A72="",B72="",C72="",D72="",E72="",H72="",I72="",J72="",K72="",L72=""),"缺少必填项",IF(OR(LEN(I72)&lt;&gt;64,LEN(J72)&lt;&gt;64),"SHA324长度应为64",IF(COUNTIF('学校信息'!$A$4:$A$53,E72)=0,"学校ID不存在",IF(COUNTIFS($E$4:$E$503,E72,$A$4:$A$503,A72)&gt;1,"同校全局题目ID重复",IF(COUNTIFS($E$4:$E$503,E72,$H$4:$H$503,H72)&gt;1,"同校本地PID重复",IF(OR(COUNTIFS($A$4:$A$503,A72,$B$4:$B$503,"&lt;&gt;"&amp;B72)&gt;0,COUNTIFS($A$4:$A$503,A72,$C$4:$C$503,"&lt;&gt;"&amp;C72)&gt;0,COUNTIFS($A$4:$A$503,A72,$D$4:$D$503,"&lt;&gt;"&amp;D72)&gt;0,COUNTIFS($A$4:$A$503,A72,$I$4:$I$503,"&lt;&gt;"&amp;I72)&gt;0,COUNTIFS($A$4:$A$503,A72,$J$4:$J$503,"&lt;&gt;"&amp;J72)&gt;0,COUNTIFS($A$4:$A$503,A72,$K$4:$K$503,"&lt;&gt;"&amp;K72)&gt;0,COUNTIFS($A$4:$A$503,A72,$L$4:$L$503,"&lt;&gt;"&amp;L72)&gt;0),"跨校题目配置不一致","通过")))))))</x:f>
      </x:c>
    </x:row>
    <x:row r="73" ht="22" customHeight="1">
      <x:c r="A73" s="70"/>
      <x:c r="B73" s="70"/>
      <x:c r="C73" s="28"/>
      <x:c r="D73" s="28"/>
      <x:c r="E73" s="70"/>
      <x:c r="F73" s="71" t="str">
        <x:f>IFERROR(INDEX('学校信息'!$F$4:$F$53,MATCH(E73,'学校信息'!$A$4:$A$53,0)),"")</x:f>
      </x:c>
      <x:c r="G73" s="71" t="str">
        <x:f>IFERROR(INDEX('学校信息'!$G$4:$G$53,MATCH(E73,'学校信息'!$A$4:$A$53,0)),"")</x:f>
      </x:c>
      <x:c r="H73" s="70"/>
      <x:c r="I73" s="70"/>
      <x:c r="J73" s="70"/>
      <x:c r="K73" s="28"/>
      <x:c r="L73" s="28"/>
      <x:c r="M73" s="60" t="str">
        <x:f>IF(COUNTA(A73:E73)+COUNTA(H73:L73)=0,"",IF(OR(A73="",B73="",C73="",D73="",E73="",H73="",I73="",J73="",K73="",L73=""),"缺少必填项",IF(OR(LEN(I73)&lt;&gt;64,LEN(J73)&lt;&gt;64),"SHA325长度应为64",IF(COUNTIF('学校信息'!$A$4:$A$53,E73)=0,"学校ID不存在",IF(COUNTIFS($E$4:$E$503,E73,$A$4:$A$503,A73)&gt;1,"同校全局题目ID重复",IF(COUNTIFS($E$4:$E$503,E73,$H$4:$H$503,H73)&gt;1,"同校本地PID重复",IF(OR(COUNTIFS($A$4:$A$503,A73,$B$4:$B$503,"&lt;&gt;"&amp;B73)&gt;0,COUNTIFS($A$4:$A$503,A73,$C$4:$C$503,"&lt;&gt;"&amp;C73)&gt;0,COUNTIFS($A$4:$A$503,A73,$D$4:$D$503,"&lt;&gt;"&amp;D73)&gt;0,COUNTIFS($A$4:$A$503,A73,$I$4:$I$503,"&lt;&gt;"&amp;I73)&gt;0,COUNTIFS($A$4:$A$503,A73,$J$4:$J$503,"&lt;&gt;"&amp;J73)&gt;0,COUNTIFS($A$4:$A$503,A73,$K$4:$K$503,"&lt;&gt;"&amp;K73)&gt;0,COUNTIFS($A$4:$A$503,A73,$L$4:$L$503,"&lt;&gt;"&amp;L73)&gt;0),"跨校题目配置不一致","通过")))))))</x:f>
      </x:c>
    </x:row>
    <x:row r="74" ht="22" customHeight="1">
      <x:c r="A74" s="70"/>
      <x:c r="B74" s="70"/>
      <x:c r="C74" s="28"/>
      <x:c r="D74" s="28"/>
      <x:c r="E74" s="70"/>
      <x:c r="F74" s="71" t="str">
        <x:f>IFERROR(INDEX('学校信息'!$F$4:$F$53,MATCH(E74,'学校信息'!$A$4:$A$53,0)),"")</x:f>
      </x:c>
      <x:c r="G74" s="71" t="str">
        <x:f>IFERROR(INDEX('学校信息'!$G$4:$G$53,MATCH(E74,'学校信息'!$A$4:$A$53,0)),"")</x:f>
      </x:c>
      <x:c r="H74" s="70"/>
      <x:c r="I74" s="70"/>
      <x:c r="J74" s="70"/>
      <x:c r="K74" s="28"/>
      <x:c r="L74" s="28"/>
      <x:c r="M74" s="60" t="str">
        <x:f>IF(COUNTA(A74:E74)+COUNTA(H74:L74)=0,"",IF(OR(A74="",B74="",C74="",D74="",E74="",H74="",I74="",J74="",K74="",L74=""),"缺少必填项",IF(OR(LEN(I74)&lt;&gt;64,LEN(J74)&lt;&gt;64),"SHA326长度应为64",IF(COUNTIF('学校信息'!$A$4:$A$53,E74)=0,"学校ID不存在",IF(COUNTIFS($E$4:$E$503,E74,$A$4:$A$503,A74)&gt;1,"同校全局题目ID重复",IF(COUNTIFS($E$4:$E$503,E74,$H$4:$H$503,H74)&gt;1,"同校本地PID重复",IF(OR(COUNTIFS($A$4:$A$503,A74,$B$4:$B$503,"&lt;&gt;"&amp;B74)&gt;0,COUNTIFS($A$4:$A$503,A74,$C$4:$C$503,"&lt;&gt;"&amp;C74)&gt;0,COUNTIFS($A$4:$A$503,A74,$D$4:$D$503,"&lt;&gt;"&amp;D74)&gt;0,COUNTIFS($A$4:$A$503,A74,$I$4:$I$503,"&lt;&gt;"&amp;I74)&gt;0,COUNTIFS($A$4:$A$503,A74,$J$4:$J$503,"&lt;&gt;"&amp;J74)&gt;0,COUNTIFS($A$4:$A$503,A74,$K$4:$K$503,"&lt;&gt;"&amp;K74)&gt;0,COUNTIFS($A$4:$A$503,A74,$L$4:$L$503,"&lt;&gt;"&amp;L74)&gt;0),"跨校题目配置不一致","通过")))))))</x:f>
      </x:c>
    </x:row>
    <x:row r="75" ht="22" customHeight="1">
      <x:c r="A75" s="70"/>
      <x:c r="B75" s="70"/>
      <x:c r="C75" s="28"/>
      <x:c r="D75" s="28"/>
      <x:c r="E75" s="70"/>
      <x:c r="F75" s="71" t="str">
        <x:f>IFERROR(INDEX('学校信息'!$F$4:$F$53,MATCH(E75,'学校信息'!$A$4:$A$53,0)),"")</x:f>
      </x:c>
      <x:c r="G75" s="71" t="str">
        <x:f>IFERROR(INDEX('学校信息'!$G$4:$G$53,MATCH(E75,'学校信息'!$A$4:$A$53,0)),"")</x:f>
      </x:c>
      <x:c r="H75" s="70"/>
      <x:c r="I75" s="70"/>
      <x:c r="J75" s="70"/>
      <x:c r="K75" s="28"/>
      <x:c r="L75" s="28"/>
      <x:c r="M75" s="60" t="str">
        <x:f>IF(COUNTA(A75:E75)+COUNTA(H75:L75)=0,"",IF(OR(A75="",B75="",C75="",D75="",E75="",H75="",I75="",J75="",K75="",L75=""),"缺少必填项",IF(OR(LEN(I75)&lt;&gt;64,LEN(J75)&lt;&gt;64),"SHA327长度应为64",IF(COUNTIF('学校信息'!$A$4:$A$53,E75)=0,"学校ID不存在",IF(COUNTIFS($E$4:$E$503,E75,$A$4:$A$503,A75)&gt;1,"同校全局题目ID重复",IF(COUNTIFS($E$4:$E$503,E75,$H$4:$H$503,H75)&gt;1,"同校本地PID重复",IF(OR(COUNTIFS($A$4:$A$503,A75,$B$4:$B$503,"&lt;&gt;"&amp;B75)&gt;0,COUNTIFS($A$4:$A$503,A75,$C$4:$C$503,"&lt;&gt;"&amp;C75)&gt;0,COUNTIFS($A$4:$A$503,A75,$D$4:$D$503,"&lt;&gt;"&amp;D75)&gt;0,COUNTIFS($A$4:$A$503,A75,$I$4:$I$503,"&lt;&gt;"&amp;I75)&gt;0,COUNTIFS($A$4:$A$503,A75,$J$4:$J$503,"&lt;&gt;"&amp;J75)&gt;0,COUNTIFS($A$4:$A$503,A75,$K$4:$K$503,"&lt;&gt;"&amp;K75)&gt;0,COUNTIFS($A$4:$A$503,A75,$L$4:$L$503,"&lt;&gt;"&amp;L75)&gt;0),"跨校题目配置不一致","通过")))))))</x:f>
      </x:c>
    </x:row>
    <x:row r="76" ht="22" customHeight="1">
      <x:c r="A76" s="70"/>
      <x:c r="B76" s="70"/>
      <x:c r="C76" s="28"/>
      <x:c r="D76" s="28"/>
      <x:c r="E76" s="70"/>
      <x:c r="F76" s="71" t="str">
        <x:f>IFERROR(INDEX('学校信息'!$F$4:$F$53,MATCH(E76,'学校信息'!$A$4:$A$53,0)),"")</x:f>
      </x:c>
      <x:c r="G76" s="71" t="str">
        <x:f>IFERROR(INDEX('学校信息'!$G$4:$G$53,MATCH(E76,'学校信息'!$A$4:$A$53,0)),"")</x:f>
      </x:c>
      <x:c r="H76" s="70"/>
      <x:c r="I76" s="70"/>
      <x:c r="J76" s="70"/>
      <x:c r="K76" s="28"/>
      <x:c r="L76" s="28"/>
      <x:c r="M76" s="60" t="str">
        <x:f>IF(COUNTA(A76:E76)+COUNTA(H76:L76)=0,"",IF(OR(A76="",B76="",C76="",D76="",E76="",H76="",I76="",J76="",K76="",L76=""),"缺少必填项",IF(OR(LEN(I76)&lt;&gt;64,LEN(J76)&lt;&gt;64),"SHA328长度应为64",IF(COUNTIF('学校信息'!$A$4:$A$53,E76)=0,"学校ID不存在",IF(COUNTIFS($E$4:$E$503,E76,$A$4:$A$503,A76)&gt;1,"同校全局题目ID重复",IF(COUNTIFS($E$4:$E$503,E76,$H$4:$H$503,H76)&gt;1,"同校本地PID重复",IF(OR(COUNTIFS($A$4:$A$503,A76,$B$4:$B$503,"&lt;&gt;"&amp;B76)&gt;0,COUNTIFS($A$4:$A$503,A76,$C$4:$C$503,"&lt;&gt;"&amp;C76)&gt;0,COUNTIFS($A$4:$A$503,A76,$D$4:$D$503,"&lt;&gt;"&amp;D76)&gt;0,COUNTIFS($A$4:$A$503,A76,$I$4:$I$503,"&lt;&gt;"&amp;I76)&gt;0,COUNTIFS($A$4:$A$503,A76,$J$4:$J$503,"&lt;&gt;"&amp;J76)&gt;0,COUNTIFS($A$4:$A$503,A76,$K$4:$K$503,"&lt;&gt;"&amp;K76)&gt;0,COUNTIFS($A$4:$A$503,A76,$L$4:$L$503,"&lt;&gt;"&amp;L76)&gt;0),"跨校题目配置不一致","通过")))))))</x:f>
      </x:c>
    </x:row>
    <x:row r="77" ht="22" customHeight="1">
      <x:c r="A77" s="70"/>
      <x:c r="B77" s="70"/>
      <x:c r="C77" s="28"/>
      <x:c r="D77" s="28"/>
      <x:c r="E77" s="70"/>
      <x:c r="F77" s="71" t="str">
        <x:f>IFERROR(INDEX('学校信息'!$F$4:$F$53,MATCH(E77,'学校信息'!$A$4:$A$53,0)),"")</x:f>
      </x:c>
      <x:c r="G77" s="71" t="str">
        <x:f>IFERROR(INDEX('学校信息'!$G$4:$G$53,MATCH(E77,'学校信息'!$A$4:$A$53,0)),"")</x:f>
      </x:c>
      <x:c r="H77" s="70"/>
      <x:c r="I77" s="70"/>
      <x:c r="J77" s="70"/>
      <x:c r="K77" s="28"/>
      <x:c r="L77" s="28"/>
      <x:c r="M77" s="60" t="str">
        <x:f>IF(COUNTA(A77:E77)+COUNTA(H77:L77)=0,"",IF(OR(A77="",B77="",C77="",D77="",E77="",H77="",I77="",J77="",K77="",L77=""),"缺少必填项",IF(OR(LEN(I77)&lt;&gt;64,LEN(J77)&lt;&gt;64),"SHA329长度应为64",IF(COUNTIF('学校信息'!$A$4:$A$53,E77)=0,"学校ID不存在",IF(COUNTIFS($E$4:$E$503,E77,$A$4:$A$503,A77)&gt;1,"同校全局题目ID重复",IF(COUNTIFS($E$4:$E$503,E77,$H$4:$H$503,H77)&gt;1,"同校本地PID重复",IF(OR(COUNTIFS($A$4:$A$503,A77,$B$4:$B$503,"&lt;&gt;"&amp;B77)&gt;0,COUNTIFS($A$4:$A$503,A77,$C$4:$C$503,"&lt;&gt;"&amp;C77)&gt;0,COUNTIFS($A$4:$A$503,A77,$D$4:$D$503,"&lt;&gt;"&amp;D77)&gt;0,COUNTIFS($A$4:$A$503,A77,$I$4:$I$503,"&lt;&gt;"&amp;I77)&gt;0,COUNTIFS($A$4:$A$503,A77,$J$4:$J$503,"&lt;&gt;"&amp;J77)&gt;0,COUNTIFS($A$4:$A$503,A77,$K$4:$K$503,"&lt;&gt;"&amp;K77)&gt;0,COUNTIFS($A$4:$A$503,A77,$L$4:$L$503,"&lt;&gt;"&amp;L77)&gt;0),"跨校题目配置不一致","通过")))))))</x:f>
      </x:c>
    </x:row>
    <x:row r="78" ht="22" customHeight="1">
      <x:c r="A78" s="70"/>
      <x:c r="B78" s="70"/>
      <x:c r="C78" s="28"/>
      <x:c r="D78" s="28"/>
      <x:c r="E78" s="70"/>
      <x:c r="F78" s="71" t="str">
        <x:f>IFERROR(INDEX('学校信息'!$F$4:$F$53,MATCH(E78,'学校信息'!$A$4:$A$53,0)),"")</x:f>
      </x:c>
      <x:c r="G78" s="71" t="str">
        <x:f>IFERROR(INDEX('学校信息'!$G$4:$G$53,MATCH(E78,'学校信息'!$A$4:$A$53,0)),"")</x:f>
      </x:c>
      <x:c r="H78" s="70"/>
      <x:c r="I78" s="70"/>
      <x:c r="J78" s="70"/>
      <x:c r="K78" s="28"/>
      <x:c r="L78" s="28"/>
      <x:c r="M78" s="60" t="str">
        <x:f>IF(COUNTA(A78:E78)+COUNTA(H78:L78)=0,"",IF(OR(A78="",B78="",C78="",D78="",E78="",H78="",I78="",J78="",K78="",L78=""),"缺少必填项",IF(OR(LEN(I78)&lt;&gt;64,LEN(J78)&lt;&gt;64),"SHA330长度应为64",IF(COUNTIF('学校信息'!$A$4:$A$53,E78)=0,"学校ID不存在",IF(COUNTIFS($E$4:$E$503,E78,$A$4:$A$503,A78)&gt;1,"同校全局题目ID重复",IF(COUNTIFS($E$4:$E$503,E78,$H$4:$H$503,H78)&gt;1,"同校本地PID重复",IF(OR(COUNTIFS($A$4:$A$503,A78,$B$4:$B$503,"&lt;&gt;"&amp;B78)&gt;0,COUNTIFS($A$4:$A$503,A78,$C$4:$C$503,"&lt;&gt;"&amp;C78)&gt;0,COUNTIFS($A$4:$A$503,A78,$D$4:$D$503,"&lt;&gt;"&amp;D78)&gt;0,COUNTIFS($A$4:$A$503,A78,$I$4:$I$503,"&lt;&gt;"&amp;I78)&gt;0,COUNTIFS($A$4:$A$503,A78,$J$4:$J$503,"&lt;&gt;"&amp;J78)&gt;0,COUNTIFS($A$4:$A$503,A78,$K$4:$K$503,"&lt;&gt;"&amp;K78)&gt;0,COUNTIFS($A$4:$A$503,A78,$L$4:$L$503,"&lt;&gt;"&amp;L78)&gt;0),"跨校题目配置不一致","通过")))))))</x:f>
      </x:c>
    </x:row>
    <x:row r="79" ht="22" customHeight="1">
      <x:c r="A79" s="70"/>
      <x:c r="B79" s="70"/>
      <x:c r="C79" s="28"/>
      <x:c r="D79" s="28"/>
      <x:c r="E79" s="70"/>
      <x:c r="F79" s="71" t="str">
        <x:f>IFERROR(INDEX('学校信息'!$F$4:$F$53,MATCH(E79,'学校信息'!$A$4:$A$53,0)),"")</x:f>
      </x:c>
      <x:c r="G79" s="71" t="str">
        <x:f>IFERROR(INDEX('学校信息'!$G$4:$G$53,MATCH(E79,'学校信息'!$A$4:$A$53,0)),"")</x:f>
      </x:c>
      <x:c r="H79" s="70"/>
      <x:c r="I79" s="70"/>
      <x:c r="J79" s="70"/>
      <x:c r="K79" s="28"/>
      <x:c r="L79" s="28"/>
      <x:c r="M79" s="60" t="str">
        <x:f>IF(COUNTA(A79:E79)+COUNTA(H79:L79)=0,"",IF(OR(A79="",B79="",C79="",D79="",E79="",H79="",I79="",J79="",K79="",L79=""),"缺少必填项",IF(OR(LEN(I79)&lt;&gt;64,LEN(J79)&lt;&gt;64),"SHA331长度应为64",IF(COUNTIF('学校信息'!$A$4:$A$53,E79)=0,"学校ID不存在",IF(COUNTIFS($E$4:$E$503,E79,$A$4:$A$503,A79)&gt;1,"同校全局题目ID重复",IF(COUNTIFS($E$4:$E$503,E79,$H$4:$H$503,H79)&gt;1,"同校本地PID重复",IF(OR(COUNTIFS($A$4:$A$503,A79,$B$4:$B$503,"&lt;&gt;"&amp;B79)&gt;0,COUNTIFS($A$4:$A$503,A79,$C$4:$C$503,"&lt;&gt;"&amp;C79)&gt;0,COUNTIFS($A$4:$A$503,A79,$D$4:$D$503,"&lt;&gt;"&amp;D79)&gt;0,COUNTIFS($A$4:$A$503,A79,$I$4:$I$503,"&lt;&gt;"&amp;I79)&gt;0,COUNTIFS($A$4:$A$503,A79,$J$4:$J$503,"&lt;&gt;"&amp;J79)&gt;0,COUNTIFS($A$4:$A$503,A79,$K$4:$K$503,"&lt;&gt;"&amp;K79)&gt;0,COUNTIFS($A$4:$A$503,A79,$L$4:$L$503,"&lt;&gt;"&amp;L79)&gt;0),"跨校题目配置不一致","通过")))))))</x:f>
      </x:c>
    </x:row>
    <x:row r="80" ht="22" customHeight="1">
      <x:c r="A80" s="70"/>
      <x:c r="B80" s="70"/>
      <x:c r="C80" s="28"/>
      <x:c r="D80" s="28"/>
      <x:c r="E80" s="70"/>
      <x:c r="F80" s="71" t="str">
        <x:f>IFERROR(INDEX('学校信息'!$F$4:$F$53,MATCH(E80,'学校信息'!$A$4:$A$53,0)),"")</x:f>
      </x:c>
      <x:c r="G80" s="71" t="str">
        <x:f>IFERROR(INDEX('学校信息'!$G$4:$G$53,MATCH(E80,'学校信息'!$A$4:$A$53,0)),"")</x:f>
      </x:c>
      <x:c r="H80" s="70"/>
      <x:c r="I80" s="70"/>
      <x:c r="J80" s="70"/>
      <x:c r="K80" s="28"/>
      <x:c r="L80" s="28"/>
      <x:c r="M80" s="60" t="str">
        <x:f>IF(COUNTA(A80:E80)+COUNTA(H80:L80)=0,"",IF(OR(A80="",B80="",C80="",D80="",E80="",H80="",I80="",J80="",K80="",L80=""),"缺少必填项",IF(OR(LEN(I80)&lt;&gt;64,LEN(J80)&lt;&gt;64),"SHA332长度应为64",IF(COUNTIF('学校信息'!$A$4:$A$53,E80)=0,"学校ID不存在",IF(COUNTIFS($E$4:$E$503,E80,$A$4:$A$503,A80)&gt;1,"同校全局题目ID重复",IF(COUNTIFS($E$4:$E$503,E80,$H$4:$H$503,H80)&gt;1,"同校本地PID重复",IF(OR(COUNTIFS($A$4:$A$503,A80,$B$4:$B$503,"&lt;&gt;"&amp;B80)&gt;0,COUNTIFS($A$4:$A$503,A80,$C$4:$C$503,"&lt;&gt;"&amp;C80)&gt;0,COUNTIFS($A$4:$A$503,A80,$D$4:$D$503,"&lt;&gt;"&amp;D80)&gt;0,COUNTIFS($A$4:$A$503,A80,$I$4:$I$503,"&lt;&gt;"&amp;I80)&gt;0,COUNTIFS($A$4:$A$503,A80,$J$4:$J$503,"&lt;&gt;"&amp;J80)&gt;0,COUNTIFS($A$4:$A$503,A80,$K$4:$K$503,"&lt;&gt;"&amp;K80)&gt;0,COUNTIFS($A$4:$A$503,A80,$L$4:$L$503,"&lt;&gt;"&amp;L80)&gt;0),"跨校题目配置不一致","通过")))))))</x:f>
      </x:c>
    </x:row>
    <x:row r="81" ht="22" customHeight="1">
      <x:c r="A81" s="70"/>
      <x:c r="B81" s="70"/>
      <x:c r="C81" s="28"/>
      <x:c r="D81" s="28"/>
      <x:c r="E81" s="70"/>
      <x:c r="F81" s="71" t="str">
        <x:f>IFERROR(INDEX('学校信息'!$F$4:$F$53,MATCH(E81,'学校信息'!$A$4:$A$53,0)),"")</x:f>
      </x:c>
      <x:c r="G81" s="71" t="str">
        <x:f>IFERROR(INDEX('学校信息'!$G$4:$G$53,MATCH(E81,'学校信息'!$A$4:$A$53,0)),"")</x:f>
      </x:c>
      <x:c r="H81" s="70"/>
      <x:c r="I81" s="70"/>
      <x:c r="J81" s="70"/>
      <x:c r="K81" s="28"/>
      <x:c r="L81" s="28"/>
      <x:c r="M81" s="60" t="str">
        <x:f>IF(COUNTA(A81:E81)+COUNTA(H81:L81)=0,"",IF(OR(A81="",B81="",C81="",D81="",E81="",H81="",I81="",J81="",K81="",L81=""),"缺少必填项",IF(OR(LEN(I81)&lt;&gt;64,LEN(J81)&lt;&gt;64),"SHA333长度应为64",IF(COUNTIF('学校信息'!$A$4:$A$53,E81)=0,"学校ID不存在",IF(COUNTIFS($E$4:$E$503,E81,$A$4:$A$503,A81)&gt;1,"同校全局题目ID重复",IF(COUNTIFS($E$4:$E$503,E81,$H$4:$H$503,H81)&gt;1,"同校本地PID重复",IF(OR(COUNTIFS($A$4:$A$503,A81,$B$4:$B$503,"&lt;&gt;"&amp;B81)&gt;0,COUNTIFS($A$4:$A$503,A81,$C$4:$C$503,"&lt;&gt;"&amp;C81)&gt;0,COUNTIFS($A$4:$A$503,A81,$D$4:$D$503,"&lt;&gt;"&amp;D81)&gt;0,COUNTIFS($A$4:$A$503,A81,$I$4:$I$503,"&lt;&gt;"&amp;I81)&gt;0,COUNTIFS($A$4:$A$503,A81,$J$4:$J$503,"&lt;&gt;"&amp;J81)&gt;0,COUNTIFS($A$4:$A$503,A81,$K$4:$K$503,"&lt;&gt;"&amp;K81)&gt;0,COUNTIFS($A$4:$A$503,A81,$L$4:$L$503,"&lt;&gt;"&amp;L81)&gt;0),"跨校题目配置不一致","通过")))))))</x:f>
      </x:c>
    </x:row>
    <x:row r="82" ht="22" customHeight="1">
      <x:c r="A82" s="70"/>
      <x:c r="B82" s="70"/>
      <x:c r="C82" s="28"/>
      <x:c r="D82" s="28"/>
      <x:c r="E82" s="70"/>
      <x:c r="F82" s="71" t="str">
        <x:f>IFERROR(INDEX('学校信息'!$F$4:$F$53,MATCH(E82,'学校信息'!$A$4:$A$53,0)),"")</x:f>
      </x:c>
      <x:c r="G82" s="71" t="str">
        <x:f>IFERROR(INDEX('学校信息'!$G$4:$G$53,MATCH(E82,'学校信息'!$A$4:$A$53,0)),"")</x:f>
      </x:c>
      <x:c r="H82" s="70"/>
      <x:c r="I82" s="70"/>
      <x:c r="J82" s="70"/>
      <x:c r="K82" s="28"/>
      <x:c r="L82" s="28"/>
      <x:c r="M82" s="60" t="str">
        <x:f>IF(COUNTA(A82:E82)+COUNTA(H82:L82)=0,"",IF(OR(A82="",B82="",C82="",D82="",E82="",H82="",I82="",J82="",K82="",L82=""),"缺少必填项",IF(OR(LEN(I82)&lt;&gt;64,LEN(J82)&lt;&gt;64),"SHA334长度应为64",IF(COUNTIF('学校信息'!$A$4:$A$53,E82)=0,"学校ID不存在",IF(COUNTIFS($E$4:$E$503,E82,$A$4:$A$503,A82)&gt;1,"同校全局题目ID重复",IF(COUNTIFS($E$4:$E$503,E82,$H$4:$H$503,H82)&gt;1,"同校本地PID重复",IF(OR(COUNTIFS($A$4:$A$503,A82,$B$4:$B$503,"&lt;&gt;"&amp;B82)&gt;0,COUNTIFS($A$4:$A$503,A82,$C$4:$C$503,"&lt;&gt;"&amp;C82)&gt;0,COUNTIFS($A$4:$A$503,A82,$D$4:$D$503,"&lt;&gt;"&amp;D82)&gt;0,COUNTIFS($A$4:$A$503,A82,$I$4:$I$503,"&lt;&gt;"&amp;I82)&gt;0,COUNTIFS($A$4:$A$503,A82,$J$4:$J$503,"&lt;&gt;"&amp;J82)&gt;0,COUNTIFS($A$4:$A$503,A82,$K$4:$K$503,"&lt;&gt;"&amp;K82)&gt;0,COUNTIFS($A$4:$A$503,A82,$L$4:$L$503,"&lt;&gt;"&amp;L82)&gt;0),"跨校题目配置不一致","通过")))))))</x:f>
      </x:c>
    </x:row>
    <x:row r="83" ht="22" customHeight="1">
      <x:c r="A83" s="70"/>
      <x:c r="B83" s="70"/>
      <x:c r="C83" s="28"/>
      <x:c r="D83" s="28"/>
      <x:c r="E83" s="70"/>
      <x:c r="F83" s="71" t="str">
        <x:f>IFERROR(INDEX('学校信息'!$F$4:$F$53,MATCH(E83,'学校信息'!$A$4:$A$53,0)),"")</x:f>
      </x:c>
      <x:c r="G83" s="71" t="str">
        <x:f>IFERROR(INDEX('学校信息'!$G$4:$G$53,MATCH(E83,'学校信息'!$A$4:$A$53,0)),"")</x:f>
      </x:c>
      <x:c r="H83" s="70"/>
      <x:c r="I83" s="70"/>
      <x:c r="J83" s="70"/>
      <x:c r="K83" s="28"/>
      <x:c r="L83" s="28"/>
      <x:c r="M83" s="60" t="str">
        <x:f>IF(COUNTA(A83:E83)+COUNTA(H83:L83)=0,"",IF(OR(A83="",B83="",C83="",D83="",E83="",H83="",I83="",J83="",K83="",L83=""),"缺少必填项",IF(OR(LEN(I83)&lt;&gt;64,LEN(J83)&lt;&gt;64),"SHA335长度应为64",IF(COUNTIF('学校信息'!$A$4:$A$53,E83)=0,"学校ID不存在",IF(COUNTIFS($E$4:$E$503,E83,$A$4:$A$503,A83)&gt;1,"同校全局题目ID重复",IF(COUNTIFS($E$4:$E$503,E83,$H$4:$H$503,H83)&gt;1,"同校本地PID重复",IF(OR(COUNTIFS($A$4:$A$503,A83,$B$4:$B$503,"&lt;&gt;"&amp;B83)&gt;0,COUNTIFS($A$4:$A$503,A83,$C$4:$C$503,"&lt;&gt;"&amp;C83)&gt;0,COUNTIFS($A$4:$A$503,A83,$D$4:$D$503,"&lt;&gt;"&amp;D83)&gt;0,COUNTIFS($A$4:$A$503,A83,$I$4:$I$503,"&lt;&gt;"&amp;I83)&gt;0,COUNTIFS($A$4:$A$503,A83,$J$4:$J$503,"&lt;&gt;"&amp;J83)&gt;0,COUNTIFS($A$4:$A$503,A83,$K$4:$K$503,"&lt;&gt;"&amp;K83)&gt;0,COUNTIFS($A$4:$A$503,A83,$L$4:$L$503,"&lt;&gt;"&amp;L83)&gt;0),"跨校题目配置不一致","通过")))))))</x:f>
      </x:c>
    </x:row>
    <x:row r="84" ht="22" customHeight="1">
      <x:c r="A84" s="70"/>
      <x:c r="B84" s="70"/>
      <x:c r="C84" s="28"/>
      <x:c r="D84" s="28"/>
      <x:c r="E84" s="70"/>
      <x:c r="F84" s="71" t="str">
        <x:f>IFERROR(INDEX('学校信息'!$F$4:$F$53,MATCH(E84,'学校信息'!$A$4:$A$53,0)),"")</x:f>
      </x:c>
      <x:c r="G84" s="71" t="str">
        <x:f>IFERROR(INDEX('学校信息'!$G$4:$G$53,MATCH(E84,'学校信息'!$A$4:$A$53,0)),"")</x:f>
      </x:c>
      <x:c r="H84" s="70"/>
      <x:c r="I84" s="70"/>
      <x:c r="J84" s="70"/>
      <x:c r="K84" s="28"/>
      <x:c r="L84" s="28"/>
      <x:c r="M84" s="60" t="str">
        <x:f>IF(COUNTA(A84:E84)+COUNTA(H84:L84)=0,"",IF(OR(A84="",B84="",C84="",D84="",E84="",H84="",I84="",J84="",K84="",L84=""),"缺少必填项",IF(OR(LEN(I84)&lt;&gt;64,LEN(J84)&lt;&gt;64),"SHA336长度应为64",IF(COUNTIF('学校信息'!$A$4:$A$53,E84)=0,"学校ID不存在",IF(COUNTIFS($E$4:$E$503,E84,$A$4:$A$503,A84)&gt;1,"同校全局题目ID重复",IF(COUNTIFS($E$4:$E$503,E84,$H$4:$H$503,H84)&gt;1,"同校本地PID重复",IF(OR(COUNTIFS($A$4:$A$503,A84,$B$4:$B$503,"&lt;&gt;"&amp;B84)&gt;0,COUNTIFS($A$4:$A$503,A84,$C$4:$C$503,"&lt;&gt;"&amp;C84)&gt;0,COUNTIFS($A$4:$A$503,A84,$D$4:$D$503,"&lt;&gt;"&amp;D84)&gt;0,COUNTIFS($A$4:$A$503,A84,$I$4:$I$503,"&lt;&gt;"&amp;I84)&gt;0,COUNTIFS($A$4:$A$503,A84,$J$4:$J$503,"&lt;&gt;"&amp;J84)&gt;0,COUNTIFS($A$4:$A$503,A84,$K$4:$K$503,"&lt;&gt;"&amp;K84)&gt;0,COUNTIFS($A$4:$A$503,A84,$L$4:$L$503,"&lt;&gt;"&amp;L84)&gt;0),"跨校题目配置不一致","通过")))))))</x:f>
      </x:c>
    </x:row>
    <x:row r="85" ht="22" customHeight="1">
      <x:c r="A85" s="70"/>
      <x:c r="B85" s="70"/>
      <x:c r="C85" s="28"/>
      <x:c r="D85" s="28"/>
      <x:c r="E85" s="70"/>
      <x:c r="F85" s="71" t="str">
        <x:f>IFERROR(INDEX('学校信息'!$F$4:$F$53,MATCH(E85,'学校信息'!$A$4:$A$53,0)),"")</x:f>
      </x:c>
      <x:c r="G85" s="71" t="str">
        <x:f>IFERROR(INDEX('学校信息'!$G$4:$G$53,MATCH(E85,'学校信息'!$A$4:$A$53,0)),"")</x:f>
      </x:c>
      <x:c r="H85" s="70"/>
      <x:c r="I85" s="70"/>
      <x:c r="J85" s="70"/>
      <x:c r="K85" s="28"/>
      <x:c r="L85" s="28"/>
      <x:c r="M85" s="60" t="str">
        <x:f>IF(COUNTA(A85:E85)+COUNTA(H85:L85)=0,"",IF(OR(A85="",B85="",C85="",D85="",E85="",H85="",I85="",J85="",K85="",L85=""),"缺少必填项",IF(OR(LEN(I85)&lt;&gt;64,LEN(J85)&lt;&gt;64),"SHA337长度应为64",IF(COUNTIF('学校信息'!$A$4:$A$53,E85)=0,"学校ID不存在",IF(COUNTIFS($E$4:$E$503,E85,$A$4:$A$503,A85)&gt;1,"同校全局题目ID重复",IF(COUNTIFS($E$4:$E$503,E85,$H$4:$H$503,H85)&gt;1,"同校本地PID重复",IF(OR(COUNTIFS($A$4:$A$503,A85,$B$4:$B$503,"&lt;&gt;"&amp;B85)&gt;0,COUNTIFS($A$4:$A$503,A85,$C$4:$C$503,"&lt;&gt;"&amp;C85)&gt;0,COUNTIFS($A$4:$A$503,A85,$D$4:$D$503,"&lt;&gt;"&amp;D85)&gt;0,COUNTIFS($A$4:$A$503,A85,$I$4:$I$503,"&lt;&gt;"&amp;I85)&gt;0,COUNTIFS($A$4:$A$503,A85,$J$4:$J$503,"&lt;&gt;"&amp;J85)&gt;0,COUNTIFS($A$4:$A$503,A85,$K$4:$K$503,"&lt;&gt;"&amp;K85)&gt;0,COUNTIFS($A$4:$A$503,A85,$L$4:$L$503,"&lt;&gt;"&amp;L85)&gt;0),"跨校题目配置不一致","通过")))))))</x:f>
      </x:c>
    </x:row>
    <x:row r="86" ht="22" customHeight="1">
      <x:c r="A86" s="70"/>
      <x:c r="B86" s="70"/>
      <x:c r="C86" s="28"/>
      <x:c r="D86" s="28"/>
      <x:c r="E86" s="70"/>
      <x:c r="F86" s="71" t="str">
        <x:f>IFERROR(INDEX('学校信息'!$F$4:$F$53,MATCH(E86,'学校信息'!$A$4:$A$53,0)),"")</x:f>
      </x:c>
      <x:c r="G86" s="71" t="str">
        <x:f>IFERROR(INDEX('学校信息'!$G$4:$G$53,MATCH(E86,'学校信息'!$A$4:$A$53,0)),"")</x:f>
      </x:c>
      <x:c r="H86" s="70"/>
      <x:c r="I86" s="70"/>
      <x:c r="J86" s="70"/>
      <x:c r="K86" s="28"/>
      <x:c r="L86" s="28"/>
      <x:c r="M86" s="60" t="str">
        <x:f>IF(COUNTA(A86:E86)+COUNTA(H86:L86)=0,"",IF(OR(A86="",B86="",C86="",D86="",E86="",H86="",I86="",J86="",K86="",L86=""),"缺少必填项",IF(OR(LEN(I86)&lt;&gt;64,LEN(J86)&lt;&gt;64),"SHA338长度应为64",IF(COUNTIF('学校信息'!$A$4:$A$53,E86)=0,"学校ID不存在",IF(COUNTIFS($E$4:$E$503,E86,$A$4:$A$503,A86)&gt;1,"同校全局题目ID重复",IF(COUNTIFS($E$4:$E$503,E86,$H$4:$H$503,H86)&gt;1,"同校本地PID重复",IF(OR(COUNTIFS($A$4:$A$503,A86,$B$4:$B$503,"&lt;&gt;"&amp;B86)&gt;0,COUNTIFS($A$4:$A$503,A86,$C$4:$C$503,"&lt;&gt;"&amp;C86)&gt;0,COUNTIFS($A$4:$A$503,A86,$D$4:$D$503,"&lt;&gt;"&amp;D86)&gt;0,COUNTIFS($A$4:$A$503,A86,$I$4:$I$503,"&lt;&gt;"&amp;I86)&gt;0,COUNTIFS($A$4:$A$503,A86,$J$4:$J$503,"&lt;&gt;"&amp;J86)&gt;0,COUNTIFS($A$4:$A$503,A86,$K$4:$K$503,"&lt;&gt;"&amp;K86)&gt;0,COUNTIFS($A$4:$A$503,A86,$L$4:$L$503,"&lt;&gt;"&amp;L86)&gt;0),"跨校题目配置不一致","通过")))))))</x:f>
      </x:c>
    </x:row>
    <x:row r="87" ht="22" customHeight="1">
      <x:c r="A87" s="70"/>
      <x:c r="B87" s="70"/>
      <x:c r="C87" s="28"/>
      <x:c r="D87" s="28"/>
      <x:c r="E87" s="70"/>
      <x:c r="F87" s="71" t="str">
        <x:f>IFERROR(INDEX('学校信息'!$F$4:$F$53,MATCH(E87,'学校信息'!$A$4:$A$53,0)),"")</x:f>
      </x:c>
      <x:c r="G87" s="71" t="str">
        <x:f>IFERROR(INDEX('学校信息'!$G$4:$G$53,MATCH(E87,'学校信息'!$A$4:$A$53,0)),"")</x:f>
      </x:c>
      <x:c r="H87" s="70"/>
      <x:c r="I87" s="70"/>
      <x:c r="J87" s="70"/>
      <x:c r="K87" s="28"/>
      <x:c r="L87" s="28"/>
      <x:c r="M87" s="60" t="str">
        <x:f>IF(COUNTA(A87:E87)+COUNTA(H87:L87)=0,"",IF(OR(A87="",B87="",C87="",D87="",E87="",H87="",I87="",J87="",K87="",L87=""),"缺少必填项",IF(OR(LEN(I87)&lt;&gt;64,LEN(J87)&lt;&gt;64),"SHA339长度应为64",IF(COUNTIF('学校信息'!$A$4:$A$53,E87)=0,"学校ID不存在",IF(COUNTIFS($E$4:$E$503,E87,$A$4:$A$503,A87)&gt;1,"同校全局题目ID重复",IF(COUNTIFS($E$4:$E$503,E87,$H$4:$H$503,H87)&gt;1,"同校本地PID重复",IF(OR(COUNTIFS($A$4:$A$503,A87,$B$4:$B$503,"&lt;&gt;"&amp;B87)&gt;0,COUNTIFS($A$4:$A$503,A87,$C$4:$C$503,"&lt;&gt;"&amp;C87)&gt;0,COUNTIFS($A$4:$A$503,A87,$D$4:$D$503,"&lt;&gt;"&amp;D87)&gt;0,COUNTIFS($A$4:$A$503,A87,$I$4:$I$503,"&lt;&gt;"&amp;I87)&gt;0,COUNTIFS($A$4:$A$503,A87,$J$4:$J$503,"&lt;&gt;"&amp;J87)&gt;0,COUNTIFS($A$4:$A$503,A87,$K$4:$K$503,"&lt;&gt;"&amp;K87)&gt;0,COUNTIFS($A$4:$A$503,A87,$L$4:$L$503,"&lt;&gt;"&amp;L87)&gt;0),"跨校题目配置不一致","通过")))))))</x:f>
      </x:c>
    </x:row>
    <x:row r="88" ht="22" customHeight="1">
      <x:c r="A88" s="70"/>
      <x:c r="B88" s="70"/>
      <x:c r="C88" s="28"/>
      <x:c r="D88" s="28"/>
      <x:c r="E88" s="70"/>
      <x:c r="F88" s="71" t="str">
        <x:f>IFERROR(INDEX('学校信息'!$F$4:$F$53,MATCH(E88,'学校信息'!$A$4:$A$53,0)),"")</x:f>
      </x:c>
      <x:c r="G88" s="71" t="str">
        <x:f>IFERROR(INDEX('学校信息'!$G$4:$G$53,MATCH(E88,'学校信息'!$A$4:$A$53,0)),"")</x:f>
      </x:c>
      <x:c r="H88" s="70"/>
      <x:c r="I88" s="70"/>
      <x:c r="J88" s="70"/>
      <x:c r="K88" s="28"/>
      <x:c r="L88" s="28"/>
      <x:c r="M88" s="60" t="str">
        <x:f>IF(COUNTA(A88:E88)+COUNTA(H88:L88)=0,"",IF(OR(A88="",B88="",C88="",D88="",E88="",H88="",I88="",J88="",K88="",L88=""),"缺少必填项",IF(OR(LEN(I88)&lt;&gt;64,LEN(J88)&lt;&gt;64),"SHA340长度应为64",IF(COUNTIF('学校信息'!$A$4:$A$53,E88)=0,"学校ID不存在",IF(COUNTIFS($E$4:$E$503,E88,$A$4:$A$503,A88)&gt;1,"同校全局题目ID重复",IF(COUNTIFS($E$4:$E$503,E88,$H$4:$H$503,H88)&gt;1,"同校本地PID重复",IF(OR(COUNTIFS($A$4:$A$503,A88,$B$4:$B$503,"&lt;&gt;"&amp;B88)&gt;0,COUNTIFS($A$4:$A$503,A88,$C$4:$C$503,"&lt;&gt;"&amp;C88)&gt;0,COUNTIFS($A$4:$A$503,A88,$D$4:$D$503,"&lt;&gt;"&amp;D88)&gt;0,COUNTIFS($A$4:$A$503,A88,$I$4:$I$503,"&lt;&gt;"&amp;I88)&gt;0,COUNTIFS($A$4:$A$503,A88,$J$4:$J$503,"&lt;&gt;"&amp;J88)&gt;0,COUNTIFS($A$4:$A$503,A88,$K$4:$K$503,"&lt;&gt;"&amp;K88)&gt;0,COUNTIFS($A$4:$A$503,A88,$L$4:$L$503,"&lt;&gt;"&amp;L88)&gt;0),"跨校题目配置不一致","通过")))))))</x:f>
      </x:c>
    </x:row>
    <x:row r="89" ht="22" customHeight="1">
      <x:c r="A89" s="70"/>
      <x:c r="B89" s="70"/>
      <x:c r="C89" s="28"/>
      <x:c r="D89" s="28"/>
      <x:c r="E89" s="70"/>
      <x:c r="F89" s="71" t="str">
        <x:f>IFERROR(INDEX('学校信息'!$F$4:$F$53,MATCH(E89,'学校信息'!$A$4:$A$53,0)),"")</x:f>
      </x:c>
      <x:c r="G89" s="71" t="str">
        <x:f>IFERROR(INDEX('学校信息'!$G$4:$G$53,MATCH(E89,'学校信息'!$A$4:$A$53,0)),"")</x:f>
      </x:c>
      <x:c r="H89" s="70"/>
      <x:c r="I89" s="70"/>
      <x:c r="J89" s="70"/>
      <x:c r="K89" s="28"/>
      <x:c r="L89" s="28"/>
      <x:c r="M89" s="60" t="str">
        <x:f>IF(COUNTA(A89:E89)+COUNTA(H89:L89)=0,"",IF(OR(A89="",B89="",C89="",D89="",E89="",H89="",I89="",J89="",K89="",L89=""),"缺少必填项",IF(OR(LEN(I89)&lt;&gt;64,LEN(J89)&lt;&gt;64),"SHA341长度应为64",IF(COUNTIF('学校信息'!$A$4:$A$53,E89)=0,"学校ID不存在",IF(COUNTIFS($E$4:$E$503,E89,$A$4:$A$503,A89)&gt;1,"同校全局题目ID重复",IF(COUNTIFS($E$4:$E$503,E89,$H$4:$H$503,H89)&gt;1,"同校本地PID重复",IF(OR(COUNTIFS($A$4:$A$503,A89,$B$4:$B$503,"&lt;&gt;"&amp;B89)&gt;0,COUNTIFS($A$4:$A$503,A89,$C$4:$C$503,"&lt;&gt;"&amp;C89)&gt;0,COUNTIFS($A$4:$A$503,A89,$D$4:$D$503,"&lt;&gt;"&amp;D89)&gt;0,COUNTIFS($A$4:$A$503,A89,$I$4:$I$503,"&lt;&gt;"&amp;I89)&gt;0,COUNTIFS($A$4:$A$503,A89,$J$4:$J$503,"&lt;&gt;"&amp;J89)&gt;0,COUNTIFS($A$4:$A$503,A89,$K$4:$K$503,"&lt;&gt;"&amp;K89)&gt;0,COUNTIFS($A$4:$A$503,A89,$L$4:$L$503,"&lt;&gt;"&amp;L89)&gt;0),"跨校题目配置不一致","通过")))))))</x:f>
      </x:c>
    </x:row>
    <x:row r="90" ht="22" customHeight="1">
      <x:c r="A90" s="70"/>
      <x:c r="B90" s="70"/>
      <x:c r="C90" s="28"/>
      <x:c r="D90" s="28"/>
      <x:c r="E90" s="70"/>
      <x:c r="F90" s="71" t="str">
        <x:f>IFERROR(INDEX('学校信息'!$F$4:$F$53,MATCH(E90,'学校信息'!$A$4:$A$53,0)),"")</x:f>
      </x:c>
      <x:c r="G90" s="71" t="str">
        <x:f>IFERROR(INDEX('学校信息'!$G$4:$G$53,MATCH(E90,'学校信息'!$A$4:$A$53,0)),"")</x:f>
      </x:c>
      <x:c r="H90" s="70"/>
      <x:c r="I90" s="70"/>
      <x:c r="J90" s="70"/>
      <x:c r="K90" s="28"/>
      <x:c r="L90" s="28"/>
      <x:c r="M90" s="60" t="str">
        <x:f>IF(COUNTA(A90:E90)+COUNTA(H90:L90)=0,"",IF(OR(A90="",B90="",C90="",D90="",E90="",H90="",I90="",J90="",K90="",L90=""),"缺少必填项",IF(OR(LEN(I90)&lt;&gt;64,LEN(J90)&lt;&gt;64),"SHA342长度应为64",IF(COUNTIF('学校信息'!$A$4:$A$53,E90)=0,"学校ID不存在",IF(COUNTIFS($E$4:$E$503,E90,$A$4:$A$503,A90)&gt;1,"同校全局题目ID重复",IF(COUNTIFS($E$4:$E$503,E90,$H$4:$H$503,H90)&gt;1,"同校本地PID重复",IF(OR(COUNTIFS($A$4:$A$503,A90,$B$4:$B$503,"&lt;&gt;"&amp;B90)&gt;0,COUNTIFS($A$4:$A$503,A90,$C$4:$C$503,"&lt;&gt;"&amp;C90)&gt;0,COUNTIFS($A$4:$A$503,A90,$D$4:$D$503,"&lt;&gt;"&amp;D90)&gt;0,COUNTIFS($A$4:$A$503,A90,$I$4:$I$503,"&lt;&gt;"&amp;I90)&gt;0,COUNTIFS($A$4:$A$503,A90,$J$4:$J$503,"&lt;&gt;"&amp;J90)&gt;0,COUNTIFS($A$4:$A$503,A90,$K$4:$K$503,"&lt;&gt;"&amp;K90)&gt;0,COUNTIFS($A$4:$A$503,A90,$L$4:$L$503,"&lt;&gt;"&amp;L90)&gt;0),"跨校题目配置不一致","通过")))))))</x:f>
      </x:c>
    </x:row>
    <x:row r="91" ht="22" customHeight="1">
      <x:c r="A91" s="70"/>
      <x:c r="B91" s="70"/>
      <x:c r="C91" s="28"/>
      <x:c r="D91" s="28"/>
      <x:c r="E91" s="70"/>
      <x:c r="F91" s="71" t="str">
        <x:f>IFERROR(INDEX('学校信息'!$F$4:$F$53,MATCH(E91,'学校信息'!$A$4:$A$53,0)),"")</x:f>
      </x:c>
      <x:c r="G91" s="71" t="str">
        <x:f>IFERROR(INDEX('学校信息'!$G$4:$G$53,MATCH(E91,'学校信息'!$A$4:$A$53,0)),"")</x:f>
      </x:c>
      <x:c r="H91" s="70"/>
      <x:c r="I91" s="70"/>
      <x:c r="J91" s="70"/>
      <x:c r="K91" s="28"/>
      <x:c r="L91" s="28"/>
      <x:c r="M91" s="60" t="str">
        <x:f>IF(COUNTA(A91:E91)+COUNTA(H91:L91)=0,"",IF(OR(A91="",B91="",C91="",D91="",E91="",H91="",I91="",J91="",K91="",L91=""),"缺少必填项",IF(OR(LEN(I91)&lt;&gt;64,LEN(J91)&lt;&gt;64),"SHA343长度应为64",IF(COUNTIF('学校信息'!$A$4:$A$53,E91)=0,"学校ID不存在",IF(COUNTIFS($E$4:$E$503,E91,$A$4:$A$503,A91)&gt;1,"同校全局题目ID重复",IF(COUNTIFS($E$4:$E$503,E91,$H$4:$H$503,H91)&gt;1,"同校本地PID重复",IF(OR(COUNTIFS($A$4:$A$503,A91,$B$4:$B$503,"&lt;&gt;"&amp;B91)&gt;0,COUNTIFS($A$4:$A$503,A91,$C$4:$C$503,"&lt;&gt;"&amp;C91)&gt;0,COUNTIFS($A$4:$A$503,A91,$D$4:$D$503,"&lt;&gt;"&amp;D91)&gt;0,COUNTIFS($A$4:$A$503,A91,$I$4:$I$503,"&lt;&gt;"&amp;I91)&gt;0,COUNTIFS($A$4:$A$503,A91,$J$4:$J$503,"&lt;&gt;"&amp;J91)&gt;0,COUNTIFS($A$4:$A$503,A91,$K$4:$K$503,"&lt;&gt;"&amp;K91)&gt;0,COUNTIFS($A$4:$A$503,A91,$L$4:$L$503,"&lt;&gt;"&amp;L91)&gt;0),"跨校题目配置不一致","通过")))))))</x:f>
      </x:c>
    </x:row>
    <x:row r="92" ht="22" customHeight="1">
      <x:c r="A92" s="70"/>
      <x:c r="B92" s="70"/>
      <x:c r="C92" s="28"/>
      <x:c r="D92" s="28"/>
      <x:c r="E92" s="70"/>
      <x:c r="F92" s="71" t="str">
        <x:f>IFERROR(INDEX('学校信息'!$F$4:$F$53,MATCH(E92,'学校信息'!$A$4:$A$53,0)),"")</x:f>
      </x:c>
      <x:c r="G92" s="71" t="str">
        <x:f>IFERROR(INDEX('学校信息'!$G$4:$G$53,MATCH(E92,'学校信息'!$A$4:$A$53,0)),"")</x:f>
      </x:c>
      <x:c r="H92" s="70"/>
      <x:c r="I92" s="70"/>
      <x:c r="J92" s="70"/>
      <x:c r="K92" s="28"/>
      <x:c r="L92" s="28"/>
      <x:c r="M92" s="60" t="str">
        <x:f>IF(COUNTA(A92:E92)+COUNTA(H92:L92)=0,"",IF(OR(A92="",B92="",C92="",D92="",E92="",H92="",I92="",J92="",K92="",L92=""),"缺少必填项",IF(OR(LEN(I92)&lt;&gt;64,LEN(J92)&lt;&gt;64),"SHA344长度应为64",IF(COUNTIF('学校信息'!$A$4:$A$53,E92)=0,"学校ID不存在",IF(COUNTIFS($E$4:$E$503,E92,$A$4:$A$503,A92)&gt;1,"同校全局题目ID重复",IF(COUNTIFS($E$4:$E$503,E92,$H$4:$H$503,H92)&gt;1,"同校本地PID重复",IF(OR(COUNTIFS($A$4:$A$503,A92,$B$4:$B$503,"&lt;&gt;"&amp;B92)&gt;0,COUNTIFS($A$4:$A$503,A92,$C$4:$C$503,"&lt;&gt;"&amp;C92)&gt;0,COUNTIFS($A$4:$A$503,A92,$D$4:$D$503,"&lt;&gt;"&amp;D92)&gt;0,COUNTIFS($A$4:$A$503,A92,$I$4:$I$503,"&lt;&gt;"&amp;I92)&gt;0,COUNTIFS($A$4:$A$503,A92,$J$4:$J$503,"&lt;&gt;"&amp;J92)&gt;0,COUNTIFS($A$4:$A$503,A92,$K$4:$K$503,"&lt;&gt;"&amp;K92)&gt;0,COUNTIFS($A$4:$A$503,A92,$L$4:$L$503,"&lt;&gt;"&amp;L92)&gt;0),"跨校题目配置不一致","通过")))))))</x:f>
      </x:c>
    </x:row>
    <x:row r="93" ht="22" customHeight="1">
      <x:c r="A93" s="70"/>
      <x:c r="B93" s="70"/>
      <x:c r="C93" s="28"/>
      <x:c r="D93" s="28"/>
      <x:c r="E93" s="70"/>
      <x:c r="F93" s="71" t="str">
        <x:f>IFERROR(INDEX('学校信息'!$F$4:$F$53,MATCH(E93,'学校信息'!$A$4:$A$53,0)),"")</x:f>
      </x:c>
      <x:c r="G93" s="71" t="str">
        <x:f>IFERROR(INDEX('学校信息'!$G$4:$G$53,MATCH(E93,'学校信息'!$A$4:$A$53,0)),"")</x:f>
      </x:c>
      <x:c r="H93" s="70"/>
      <x:c r="I93" s="70"/>
      <x:c r="J93" s="70"/>
      <x:c r="K93" s="28"/>
      <x:c r="L93" s="28"/>
      <x:c r="M93" s="60" t="str">
        <x:f>IF(COUNTA(A93:E93)+COUNTA(H93:L93)=0,"",IF(OR(A93="",B93="",C93="",D93="",E93="",H93="",I93="",J93="",K93="",L93=""),"缺少必填项",IF(OR(LEN(I93)&lt;&gt;64,LEN(J93)&lt;&gt;64),"SHA345长度应为64",IF(COUNTIF('学校信息'!$A$4:$A$53,E93)=0,"学校ID不存在",IF(COUNTIFS($E$4:$E$503,E93,$A$4:$A$503,A93)&gt;1,"同校全局题目ID重复",IF(COUNTIFS($E$4:$E$503,E93,$H$4:$H$503,H93)&gt;1,"同校本地PID重复",IF(OR(COUNTIFS($A$4:$A$503,A93,$B$4:$B$503,"&lt;&gt;"&amp;B93)&gt;0,COUNTIFS($A$4:$A$503,A93,$C$4:$C$503,"&lt;&gt;"&amp;C93)&gt;0,COUNTIFS($A$4:$A$503,A93,$D$4:$D$503,"&lt;&gt;"&amp;D93)&gt;0,COUNTIFS($A$4:$A$503,A93,$I$4:$I$503,"&lt;&gt;"&amp;I93)&gt;0,COUNTIFS($A$4:$A$503,A93,$J$4:$J$503,"&lt;&gt;"&amp;J93)&gt;0,COUNTIFS($A$4:$A$503,A93,$K$4:$K$503,"&lt;&gt;"&amp;K93)&gt;0,COUNTIFS($A$4:$A$503,A93,$L$4:$L$503,"&lt;&gt;"&amp;L93)&gt;0),"跨校题目配置不一致","通过")))))))</x:f>
      </x:c>
    </x:row>
    <x:row r="94" ht="22" customHeight="1">
      <x:c r="A94" s="70"/>
      <x:c r="B94" s="70"/>
      <x:c r="C94" s="28"/>
      <x:c r="D94" s="28"/>
      <x:c r="E94" s="70"/>
      <x:c r="F94" s="71" t="str">
        <x:f>IFERROR(INDEX('学校信息'!$F$4:$F$53,MATCH(E94,'学校信息'!$A$4:$A$53,0)),"")</x:f>
      </x:c>
      <x:c r="G94" s="71" t="str">
        <x:f>IFERROR(INDEX('学校信息'!$G$4:$G$53,MATCH(E94,'学校信息'!$A$4:$A$53,0)),"")</x:f>
      </x:c>
      <x:c r="H94" s="70"/>
      <x:c r="I94" s="70"/>
      <x:c r="J94" s="70"/>
      <x:c r="K94" s="28"/>
      <x:c r="L94" s="28"/>
      <x:c r="M94" s="60" t="str">
        <x:f>IF(COUNTA(A94:E94)+COUNTA(H94:L94)=0,"",IF(OR(A94="",B94="",C94="",D94="",E94="",H94="",I94="",J94="",K94="",L94=""),"缺少必填项",IF(OR(LEN(I94)&lt;&gt;64,LEN(J94)&lt;&gt;64),"SHA346长度应为64",IF(COUNTIF('学校信息'!$A$4:$A$53,E94)=0,"学校ID不存在",IF(COUNTIFS($E$4:$E$503,E94,$A$4:$A$503,A94)&gt;1,"同校全局题目ID重复",IF(COUNTIFS($E$4:$E$503,E94,$H$4:$H$503,H94)&gt;1,"同校本地PID重复",IF(OR(COUNTIFS($A$4:$A$503,A94,$B$4:$B$503,"&lt;&gt;"&amp;B94)&gt;0,COUNTIFS($A$4:$A$503,A94,$C$4:$C$503,"&lt;&gt;"&amp;C94)&gt;0,COUNTIFS($A$4:$A$503,A94,$D$4:$D$503,"&lt;&gt;"&amp;D94)&gt;0,COUNTIFS($A$4:$A$503,A94,$I$4:$I$503,"&lt;&gt;"&amp;I94)&gt;0,COUNTIFS($A$4:$A$503,A94,$J$4:$J$503,"&lt;&gt;"&amp;J94)&gt;0,COUNTIFS($A$4:$A$503,A94,$K$4:$K$503,"&lt;&gt;"&amp;K94)&gt;0,COUNTIFS($A$4:$A$503,A94,$L$4:$L$503,"&lt;&gt;"&amp;L94)&gt;0),"跨校题目配置不一致","通过")))))))</x:f>
      </x:c>
    </x:row>
    <x:row r="95" ht="22" customHeight="1">
      <x:c r="A95" s="70"/>
      <x:c r="B95" s="70"/>
      <x:c r="C95" s="28"/>
      <x:c r="D95" s="28"/>
      <x:c r="E95" s="70"/>
      <x:c r="F95" s="71" t="str">
        <x:f>IFERROR(INDEX('学校信息'!$F$4:$F$53,MATCH(E95,'学校信息'!$A$4:$A$53,0)),"")</x:f>
      </x:c>
      <x:c r="G95" s="71" t="str">
        <x:f>IFERROR(INDEX('学校信息'!$G$4:$G$53,MATCH(E95,'学校信息'!$A$4:$A$53,0)),"")</x:f>
      </x:c>
      <x:c r="H95" s="70"/>
      <x:c r="I95" s="70"/>
      <x:c r="J95" s="70"/>
      <x:c r="K95" s="28"/>
      <x:c r="L95" s="28"/>
      <x:c r="M95" s="60" t="str">
        <x:f>IF(COUNTA(A95:E95)+COUNTA(H95:L95)=0,"",IF(OR(A95="",B95="",C95="",D95="",E95="",H95="",I95="",J95="",K95="",L95=""),"缺少必填项",IF(OR(LEN(I95)&lt;&gt;64,LEN(J95)&lt;&gt;64),"SHA347长度应为64",IF(COUNTIF('学校信息'!$A$4:$A$53,E95)=0,"学校ID不存在",IF(COUNTIFS($E$4:$E$503,E95,$A$4:$A$503,A95)&gt;1,"同校全局题目ID重复",IF(COUNTIFS($E$4:$E$503,E95,$H$4:$H$503,H95)&gt;1,"同校本地PID重复",IF(OR(COUNTIFS($A$4:$A$503,A95,$B$4:$B$503,"&lt;&gt;"&amp;B95)&gt;0,COUNTIFS($A$4:$A$503,A95,$C$4:$C$503,"&lt;&gt;"&amp;C95)&gt;0,COUNTIFS($A$4:$A$503,A95,$D$4:$D$503,"&lt;&gt;"&amp;D95)&gt;0,COUNTIFS($A$4:$A$503,A95,$I$4:$I$503,"&lt;&gt;"&amp;I95)&gt;0,COUNTIFS($A$4:$A$503,A95,$J$4:$J$503,"&lt;&gt;"&amp;J95)&gt;0,COUNTIFS($A$4:$A$503,A95,$K$4:$K$503,"&lt;&gt;"&amp;K95)&gt;0,COUNTIFS($A$4:$A$503,A95,$L$4:$L$503,"&lt;&gt;"&amp;L95)&gt;0),"跨校题目配置不一致","通过")))))))</x:f>
      </x:c>
    </x:row>
    <x:row r="96" ht="22" customHeight="1">
      <x:c r="A96" s="70"/>
      <x:c r="B96" s="70"/>
      <x:c r="C96" s="28"/>
      <x:c r="D96" s="28"/>
      <x:c r="E96" s="70"/>
      <x:c r="F96" s="71" t="str">
        <x:f>IFERROR(INDEX('学校信息'!$F$4:$F$53,MATCH(E96,'学校信息'!$A$4:$A$53,0)),"")</x:f>
      </x:c>
      <x:c r="G96" s="71" t="str">
        <x:f>IFERROR(INDEX('学校信息'!$G$4:$G$53,MATCH(E96,'学校信息'!$A$4:$A$53,0)),"")</x:f>
      </x:c>
      <x:c r="H96" s="70"/>
      <x:c r="I96" s="70"/>
      <x:c r="J96" s="70"/>
      <x:c r="K96" s="28"/>
      <x:c r="L96" s="28"/>
      <x:c r="M96" s="60" t="str">
        <x:f>IF(COUNTA(A96:E96)+COUNTA(H96:L96)=0,"",IF(OR(A96="",B96="",C96="",D96="",E96="",H96="",I96="",J96="",K96="",L96=""),"缺少必填项",IF(OR(LEN(I96)&lt;&gt;64,LEN(J96)&lt;&gt;64),"SHA348长度应为64",IF(COUNTIF('学校信息'!$A$4:$A$53,E96)=0,"学校ID不存在",IF(COUNTIFS($E$4:$E$503,E96,$A$4:$A$503,A96)&gt;1,"同校全局题目ID重复",IF(COUNTIFS($E$4:$E$503,E96,$H$4:$H$503,H96)&gt;1,"同校本地PID重复",IF(OR(COUNTIFS($A$4:$A$503,A96,$B$4:$B$503,"&lt;&gt;"&amp;B96)&gt;0,COUNTIFS($A$4:$A$503,A96,$C$4:$C$503,"&lt;&gt;"&amp;C96)&gt;0,COUNTIFS($A$4:$A$503,A96,$D$4:$D$503,"&lt;&gt;"&amp;D96)&gt;0,COUNTIFS($A$4:$A$503,A96,$I$4:$I$503,"&lt;&gt;"&amp;I96)&gt;0,COUNTIFS($A$4:$A$503,A96,$J$4:$J$503,"&lt;&gt;"&amp;J96)&gt;0,COUNTIFS($A$4:$A$503,A96,$K$4:$K$503,"&lt;&gt;"&amp;K96)&gt;0,COUNTIFS($A$4:$A$503,A96,$L$4:$L$503,"&lt;&gt;"&amp;L96)&gt;0),"跨校题目配置不一致","通过")))))))</x:f>
      </x:c>
    </x:row>
    <x:row r="97" ht="22" customHeight="1">
      <x:c r="A97" s="70"/>
      <x:c r="B97" s="70"/>
      <x:c r="C97" s="28"/>
      <x:c r="D97" s="28"/>
      <x:c r="E97" s="70"/>
      <x:c r="F97" s="71" t="str">
        <x:f>IFERROR(INDEX('学校信息'!$F$4:$F$53,MATCH(E97,'学校信息'!$A$4:$A$53,0)),"")</x:f>
      </x:c>
      <x:c r="G97" s="71" t="str">
        <x:f>IFERROR(INDEX('学校信息'!$G$4:$G$53,MATCH(E97,'学校信息'!$A$4:$A$53,0)),"")</x:f>
      </x:c>
      <x:c r="H97" s="70"/>
      <x:c r="I97" s="70"/>
      <x:c r="J97" s="70"/>
      <x:c r="K97" s="28"/>
      <x:c r="L97" s="28"/>
      <x:c r="M97" s="60" t="str">
        <x:f>IF(COUNTA(A97:E97)+COUNTA(H97:L97)=0,"",IF(OR(A97="",B97="",C97="",D97="",E97="",H97="",I97="",J97="",K97="",L97=""),"缺少必填项",IF(OR(LEN(I97)&lt;&gt;64,LEN(J97)&lt;&gt;64),"SHA349长度应为64",IF(COUNTIF('学校信息'!$A$4:$A$53,E97)=0,"学校ID不存在",IF(COUNTIFS($E$4:$E$503,E97,$A$4:$A$503,A97)&gt;1,"同校全局题目ID重复",IF(COUNTIFS($E$4:$E$503,E97,$H$4:$H$503,H97)&gt;1,"同校本地PID重复",IF(OR(COUNTIFS($A$4:$A$503,A97,$B$4:$B$503,"&lt;&gt;"&amp;B97)&gt;0,COUNTIFS($A$4:$A$503,A97,$C$4:$C$503,"&lt;&gt;"&amp;C97)&gt;0,COUNTIFS($A$4:$A$503,A97,$D$4:$D$503,"&lt;&gt;"&amp;D97)&gt;0,COUNTIFS($A$4:$A$503,A97,$I$4:$I$503,"&lt;&gt;"&amp;I97)&gt;0,COUNTIFS($A$4:$A$503,A97,$J$4:$J$503,"&lt;&gt;"&amp;J97)&gt;0,COUNTIFS($A$4:$A$503,A97,$K$4:$K$503,"&lt;&gt;"&amp;K97)&gt;0,COUNTIFS($A$4:$A$503,A97,$L$4:$L$503,"&lt;&gt;"&amp;L97)&gt;0),"跨校题目配置不一致","通过")))))))</x:f>
      </x:c>
    </x:row>
    <x:row r="98" ht="22" customHeight="1">
      <x:c r="A98" s="70"/>
      <x:c r="B98" s="70"/>
      <x:c r="C98" s="28"/>
      <x:c r="D98" s="28"/>
      <x:c r="E98" s="70"/>
      <x:c r="F98" s="71" t="str">
        <x:f>IFERROR(INDEX('学校信息'!$F$4:$F$53,MATCH(E98,'学校信息'!$A$4:$A$53,0)),"")</x:f>
      </x:c>
      <x:c r="G98" s="71" t="str">
        <x:f>IFERROR(INDEX('学校信息'!$G$4:$G$53,MATCH(E98,'学校信息'!$A$4:$A$53,0)),"")</x:f>
      </x:c>
      <x:c r="H98" s="70"/>
      <x:c r="I98" s="70"/>
      <x:c r="J98" s="70"/>
      <x:c r="K98" s="28"/>
      <x:c r="L98" s="28"/>
      <x:c r="M98" s="60" t="str">
        <x:f>IF(COUNTA(A98:E98)+COUNTA(H98:L98)=0,"",IF(OR(A98="",B98="",C98="",D98="",E98="",H98="",I98="",J98="",K98="",L98=""),"缺少必填项",IF(OR(LEN(I98)&lt;&gt;64,LEN(J98)&lt;&gt;64),"SHA350长度应为64",IF(COUNTIF('学校信息'!$A$4:$A$53,E98)=0,"学校ID不存在",IF(COUNTIFS($E$4:$E$503,E98,$A$4:$A$503,A98)&gt;1,"同校全局题目ID重复",IF(COUNTIFS($E$4:$E$503,E98,$H$4:$H$503,H98)&gt;1,"同校本地PID重复",IF(OR(COUNTIFS($A$4:$A$503,A98,$B$4:$B$503,"&lt;&gt;"&amp;B98)&gt;0,COUNTIFS($A$4:$A$503,A98,$C$4:$C$503,"&lt;&gt;"&amp;C98)&gt;0,COUNTIFS($A$4:$A$503,A98,$D$4:$D$503,"&lt;&gt;"&amp;D98)&gt;0,COUNTIFS($A$4:$A$503,A98,$I$4:$I$503,"&lt;&gt;"&amp;I98)&gt;0,COUNTIFS($A$4:$A$503,A98,$J$4:$J$503,"&lt;&gt;"&amp;J98)&gt;0,COUNTIFS($A$4:$A$503,A98,$K$4:$K$503,"&lt;&gt;"&amp;K98)&gt;0,COUNTIFS($A$4:$A$503,A98,$L$4:$L$503,"&lt;&gt;"&amp;L98)&gt;0),"跨校题目配置不一致","通过")))))))</x:f>
      </x:c>
    </x:row>
    <x:row r="99" ht="22" customHeight="1">
      <x:c r="A99" s="70"/>
      <x:c r="B99" s="70"/>
      <x:c r="C99" s="28"/>
      <x:c r="D99" s="28"/>
      <x:c r="E99" s="70"/>
      <x:c r="F99" s="71" t="str">
        <x:f>IFERROR(INDEX('学校信息'!$F$4:$F$53,MATCH(E99,'学校信息'!$A$4:$A$53,0)),"")</x:f>
      </x:c>
      <x:c r="G99" s="71" t="str">
        <x:f>IFERROR(INDEX('学校信息'!$G$4:$G$53,MATCH(E99,'学校信息'!$A$4:$A$53,0)),"")</x:f>
      </x:c>
      <x:c r="H99" s="70"/>
      <x:c r="I99" s="70"/>
      <x:c r="J99" s="70"/>
      <x:c r="K99" s="28"/>
      <x:c r="L99" s="28"/>
      <x:c r="M99" s="60" t="str">
        <x:f>IF(COUNTA(A99:E99)+COUNTA(H99:L99)=0,"",IF(OR(A99="",B99="",C99="",D99="",E99="",H99="",I99="",J99="",K99="",L99=""),"缺少必填项",IF(OR(LEN(I99)&lt;&gt;64,LEN(J99)&lt;&gt;64),"SHA351长度应为64",IF(COUNTIF('学校信息'!$A$4:$A$53,E99)=0,"学校ID不存在",IF(COUNTIFS($E$4:$E$503,E99,$A$4:$A$503,A99)&gt;1,"同校全局题目ID重复",IF(COUNTIFS($E$4:$E$503,E99,$H$4:$H$503,H99)&gt;1,"同校本地PID重复",IF(OR(COUNTIFS($A$4:$A$503,A99,$B$4:$B$503,"&lt;&gt;"&amp;B99)&gt;0,COUNTIFS($A$4:$A$503,A99,$C$4:$C$503,"&lt;&gt;"&amp;C99)&gt;0,COUNTIFS($A$4:$A$503,A99,$D$4:$D$503,"&lt;&gt;"&amp;D99)&gt;0,COUNTIFS($A$4:$A$503,A99,$I$4:$I$503,"&lt;&gt;"&amp;I99)&gt;0,COUNTIFS($A$4:$A$503,A99,$J$4:$J$503,"&lt;&gt;"&amp;J99)&gt;0,COUNTIFS($A$4:$A$503,A99,$K$4:$K$503,"&lt;&gt;"&amp;K99)&gt;0,COUNTIFS($A$4:$A$503,A99,$L$4:$L$503,"&lt;&gt;"&amp;L99)&gt;0),"跨校题目配置不一致","通过")))))))</x:f>
      </x:c>
    </x:row>
    <x:row r="100" ht="22" customHeight="1">
      <x:c r="A100" s="70"/>
      <x:c r="B100" s="70"/>
      <x:c r="C100" s="28"/>
      <x:c r="D100" s="28"/>
      <x:c r="E100" s="70"/>
      <x:c r="F100" s="71" t="str">
        <x:f>IFERROR(INDEX('学校信息'!$F$4:$F$53,MATCH(E100,'学校信息'!$A$4:$A$53,0)),"")</x:f>
      </x:c>
      <x:c r="G100" s="71" t="str">
        <x:f>IFERROR(INDEX('学校信息'!$G$4:$G$53,MATCH(E100,'学校信息'!$A$4:$A$53,0)),"")</x:f>
      </x:c>
      <x:c r="H100" s="70"/>
      <x:c r="I100" s="70"/>
      <x:c r="J100" s="70"/>
      <x:c r="K100" s="28"/>
      <x:c r="L100" s="28"/>
      <x:c r="M100" s="60" t="str">
        <x:f>IF(COUNTA(A100:E100)+COUNTA(H100:L100)=0,"",IF(OR(A100="",B100="",C100="",D100="",E100="",H100="",I100="",J100="",K100="",L100=""),"缺少必填项",IF(OR(LEN(I100)&lt;&gt;64,LEN(J100)&lt;&gt;64),"SHA352长度应为64",IF(COUNTIF('学校信息'!$A$4:$A$53,E100)=0,"学校ID不存在",IF(COUNTIFS($E$4:$E$503,E100,$A$4:$A$503,A100)&gt;1,"同校全局题目ID重复",IF(COUNTIFS($E$4:$E$503,E100,$H$4:$H$503,H100)&gt;1,"同校本地PID重复",IF(OR(COUNTIFS($A$4:$A$503,A100,$B$4:$B$503,"&lt;&gt;"&amp;B100)&gt;0,COUNTIFS($A$4:$A$503,A100,$C$4:$C$503,"&lt;&gt;"&amp;C100)&gt;0,COUNTIFS($A$4:$A$503,A100,$D$4:$D$503,"&lt;&gt;"&amp;D100)&gt;0,COUNTIFS($A$4:$A$503,A100,$I$4:$I$503,"&lt;&gt;"&amp;I100)&gt;0,COUNTIFS($A$4:$A$503,A100,$J$4:$J$503,"&lt;&gt;"&amp;J100)&gt;0,COUNTIFS($A$4:$A$503,A100,$K$4:$K$503,"&lt;&gt;"&amp;K100)&gt;0,COUNTIFS($A$4:$A$503,A100,$L$4:$L$503,"&lt;&gt;"&amp;L100)&gt;0),"跨校题目配置不一致","通过")))))))</x:f>
      </x:c>
    </x:row>
    <x:row r="101" ht="22" customHeight="1">
      <x:c r="A101" s="70"/>
      <x:c r="B101" s="70"/>
      <x:c r="C101" s="28"/>
      <x:c r="D101" s="28"/>
      <x:c r="E101" s="70"/>
      <x:c r="F101" s="71" t="str">
        <x:f>IFERROR(INDEX('学校信息'!$F$4:$F$53,MATCH(E101,'学校信息'!$A$4:$A$53,0)),"")</x:f>
      </x:c>
      <x:c r="G101" s="71" t="str">
        <x:f>IFERROR(INDEX('学校信息'!$G$4:$G$53,MATCH(E101,'学校信息'!$A$4:$A$53,0)),"")</x:f>
      </x:c>
      <x:c r="H101" s="70"/>
      <x:c r="I101" s="70"/>
      <x:c r="J101" s="70"/>
      <x:c r="K101" s="28"/>
      <x:c r="L101" s="28"/>
      <x:c r="M101" s="60" t="str">
        <x:f>IF(COUNTA(A101:E101)+COUNTA(H101:L101)=0,"",IF(OR(A101="",B101="",C101="",D101="",E101="",H101="",I101="",J101="",K101="",L101=""),"缺少必填项",IF(OR(LEN(I101)&lt;&gt;64,LEN(J101)&lt;&gt;64),"SHA353长度应为64",IF(COUNTIF('学校信息'!$A$4:$A$53,E101)=0,"学校ID不存在",IF(COUNTIFS($E$4:$E$503,E101,$A$4:$A$503,A101)&gt;1,"同校全局题目ID重复",IF(COUNTIFS($E$4:$E$503,E101,$H$4:$H$503,H101)&gt;1,"同校本地PID重复",IF(OR(COUNTIFS($A$4:$A$503,A101,$B$4:$B$503,"&lt;&gt;"&amp;B101)&gt;0,COUNTIFS($A$4:$A$503,A101,$C$4:$C$503,"&lt;&gt;"&amp;C101)&gt;0,COUNTIFS($A$4:$A$503,A101,$D$4:$D$503,"&lt;&gt;"&amp;D101)&gt;0,COUNTIFS($A$4:$A$503,A101,$I$4:$I$503,"&lt;&gt;"&amp;I101)&gt;0,COUNTIFS($A$4:$A$503,A101,$J$4:$J$503,"&lt;&gt;"&amp;J101)&gt;0,COUNTIFS($A$4:$A$503,A101,$K$4:$K$503,"&lt;&gt;"&amp;K101)&gt;0,COUNTIFS($A$4:$A$503,A101,$L$4:$L$503,"&lt;&gt;"&amp;L101)&gt;0),"跨校题目配置不一致","通过")))))))</x:f>
      </x:c>
    </x:row>
    <x:row r="102" ht="22" customHeight="1">
      <x:c r="A102" s="70"/>
      <x:c r="B102" s="70"/>
      <x:c r="C102" s="28"/>
      <x:c r="D102" s="28"/>
      <x:c r="E102" s="70"/>
      <x:c r="F102" s="71" t="str">
        <x:f>IFERROR(INDEX('学校信息'!$F$4:$F$53,MATCH(E102,'学校信息'!$A$4:$A$53,0)),"")</x:f>
      </x:c>
      <x:c r="G102" s="71" t="str">
        <x:f>IFERROR(INDEX('学校信息'!$G$4:$G$53,MATCH(E102,'学校信息'!$A$4:$A$53,0)),"")</x:f>
      </x:c>
      <x:c r="H102" s="70"/>
      <x:c r="I102" s="70"/>
      <x:c r="J102" s="70"/>
      <x:c r="K102" s="28"/>
      <x:c r="L102" s="28"/>
      <x:c r="M102" s="60" t="str">
        <x:f>IF(COUNTA(A102:E102)+COUNTA(H102:L102)=0,"",IF(OR(A102="",B102="",C102="",D102="",E102="",H102="",I102="",J102="",K102="",L102=""),"缺少必填项",IF(OR(LEN(I102)&lt;&gt;64,LEN(J102)&lt;&gt;64),"SHA354长度应为64",IF(COUNTIF('学校信息'!$A$4:$A$53,E102)=0,"学校ID不存在",IF(COUNTIFS($E$4:$E$503,E102,$A$4:$A$503,A102)&gt;1,"同校全局题目ID重复",IF(COUNTIFS($E$4:$E$503,E102,$H$4:$H$503,H102)&gt;1,"同校本地PID重复",IF(OR(COUNTIFS($A$4:$A$503,A102,$B$4:$B$503,"&lt;&gt;"&amp;B102)&gt;0,COUNTIFS($A$4:$A$503,A102,$C$4:$C$503,"&lt;&gt;"&amp;C102)&gt;0,COUNTIFS($A$4:$A$503,A102,$D$4:$D$503,"&lt;&gt;"&amp;D102)&gt;0,COUNTIFS($A$4:$A$503,A102,$I$4:$I$503,"&lt;&gt;"&amp;I102)&gt;0,COUNTIFS($A$4:$A$503,A102,$J$4:$J$503,"&lt;&gt;"&amp;J102)&gt;0,COUNTIFS($A$4:$A$503,A102,$K$4:$K$503,"&lt;&gt;"&amp;K102)&gt;0,COUNTIFS($A$4:$A$503,A102,$L$4:$L$503,"&lt;&gt;"&amp;L102)&gt;0),"跨校题目配置不一致","通过")))))))</x:f>
      </x:c>
    </x:row>
    <x:row r="103" ht="22" customHeight="1">
      <x:c r="A103" s="70"/>
      <x:c r="B103" s="70"/>
      <x:c r="C103" s="28"/>
      <x:c r="D103" s="28"/>
      <x:c r="E103" s="70"/>
      <x:c r="F103" s="71" t="str">
        <x:f>IFERROR(INDEX('学校信息'!$F$4:$F$53,MATCH(E103,'学校信息'!$A$4:$A$53,0)),"")</x:f>
      </x:c>
      <x:c r="G103" s="71" t="str">
        <x:f>IFERROR(INDEX('学校信息'!$G$4:$G$53,MATCH(E103,'学校信息'!$A$4:$A$53,0)),"")</x:f>
      </x:c>
      <x:c r="H103" s="70"/>
      <x:c r="I103" s="70"/>
      <x:c r="J103" s="70"/>
      <x:c r="K103" s="28"/>
      <x:c r="L103" s="28"/>
      <x:c r="M103" s="60" t="str">
        <x:f>IF(COUNTA(A103:E103)+COUNTA(H103:L103)=0,"",IF(OR(A103="",B103="",C103="",D103="",E103="",H103="",I103="",J103="",K103="",L103=""),"缺少必填项",IF(OR(LEN(I103)&lt;&gt;64,LEN(J103)&lt;&gt;64),"SHA355长度应为64",IF(COUNTIF('学校信息'!$A$4:$A$53,E103)=0,"学校ID不存在",IF(COUNTIFS($E$4:$E$503,E103,$A$4:$A$503,A103)&gt;1,"同校全局题目ID重复",IF(COUNTIFS($E$4:$E$503,E103,$H$4:$H$503,H103)&gt;1,"同校本地PID重复",IF(OR(COUNTIFS($A$4:$A$503,A103,$B$4:$B$503,"&lt;&gt;"&amp;B103)&gt;0,COUNTIFS($A$4:$A$503,A103,$C$4:$C$503,"&lt;&gt;"&amp;C103)&gt;0,COUNTIFS($A$4:$A$503,A103,$D$4:$D$503,"&lt;&gt;"&amp;D103)&gt;0,COUNTIFS($A$4:$A$503,A103,$I$4:$I$503,"&lt;&gt;"&amp;I103)&gt;0,COUNTIFS($A$4:$A$503,A103,$J$4:$J$503,"&lt;&gt;"&amp;J103)&gt;0,COUNTIFS($A$4:$A$503,A103,$K$4:$K$503,"&lt;&gt;"&amp;K103)&gt;0,COUNTIFS($A$4:$A$503,A103,$L$4:$L$503,"&lt;&gt;"&amp;L103)&gt;0),"跨校题目配置不一致","通过")))))))</x:f>
      </x:c>
    </x:row>
    <x:row r="104" ht="22" customHeight="1">
      <x:c r="A104" s="70"/>
      <x:c r="B104" s="70"/>
      <x:c r="C104" s="28"/>
      <x:c r="D104" s="28"/>
      <x:c r="E104" s="70"/>
      <x:c r="F104" s="71" t="str">
        <x:f>IFERROR(INDEX('学校信息'!$F$4:$F$53,MATCH(E104,'学校信息'!$A$4:$A$53,0)),"")</x:f>
      </x:c>
      <x:c r="G104" s="71" t="str">
        <x:f>IFERROR(INDEX('学校信息'!$G$4:$G$53,MATCH(E104,'学校信息'!$A$4:$A$53,0)),"")</x:f>
      </x:c>
      <x:c r="H104" s="70"/>
      <x:c r="I104" s="70"/>
      <x:c r="J104" s="70"/>
      <x:c r="K104" s="28"/>
      <x:c r="L104" s="28"/>
      <x:c r="M104" s="60" t="str">
        <x:f>IF(COUNTA(A104:E104)+COUNTA(H104:L104)=0,"",IF(OR(A104="",B104="",C104="",D104="",E104="",H104="",I104="",J104="",K104="",L104=""),"缺少必填项",IF(OR(LEN(I104)&lt;&gt;64,LEN(J104)&lt;&gt;64),"SHA356长度应为64",IF(COUNTIF('学校信息'!$A$4:$A$53,E104)=0,"学校ID不存在",IF(COUNTIFS($E$4:$E$503,E104,$A$4:$A$503,A104)&gt;1,"同校全局题目ID重复",IF(COUNTIFS($E$4:$E$503,E104,$H$4:$H$503,H104)&gt;1,"同校本地PID重复",IF(OR(COUNTIFS($A$4:$A$503,A104,$B$4:$B$503,"&lt;&gt;"&amp;B104)&gt;0,COUNTIFS($A$4:$A$503,A104,$C$4:$C$503,"&lt;&gt;"&amp;C104)&gt;0,COUNTIFS($A$4:$A$503,A104,$D$4:$D$503,"&lt;&gt;"&amp;D104)&gt;0,COUNTIFS($A$4:$A$503,A104,$I$4:$I$503,"&lt;&gt;"&amp;I104)&gt;0,COUNTIFS($A$4:$A$503,A104,$J$4:$J$503,"&lt;&gt;"&amp;J104)&gt;0,COUNTIFS($A$4:$A$503,A104,$K$4:$K$503,"&lt;&gt;"&amp;K104)&gt;0,COUNTIFS($A$4:$A$503,A104,$L$4:$L$503,"&lt;&gt;"&amp;L104)&gt;0),"跨校题目配置不一致","通过")))))))</x:f>
      </x:c>
    </x:row>
    <x:row r="105" ht="22" customHeight="1">
      <x:c r="A105" s="70"/>
      <x:c r="B105" s="70"/>
      <x:c r="C105" s="28"/>
      <x:c r="D105" s="28"/>
      <x:c r="E105" s="70"/>
      <x:c r="F105" s="71" t="str">
        <x:f>IFERROR(INDEX('学校信息'!$F$4:$F$53,MATCH(E105,'学校信息'!$A$4:$A$53,0)),"")</x:f>
      </x:c>
      <x:c r="G105" s="71" t="str">
        <x:f>IFERROR(INDEX('学校信息'!$G$4:$G$53,MATCH(E105,'学校信息'!$A$4:$A$53,0)),"")</x:f>
      </x:c>
      <x:c r="H105" s="70"/>
      <x:c r="I105" s="70"/>
      <x:c r="J105" s="70"/>
      <x:c r="K105" s="28"/>
      <x:c r="L105" s="28"/>
      <x:c r="M105" s="60" t="str">
        <x:f>IF(COUNTA(A105:E105)+COUNTA(H105:L105)=0,"",IF(OR(A105="",B105="",C105="",D105="",E105="",H105="",I105="",J105="",K105="",L105=""),"缺少必填项",IF(OR(LEN(I105)&lt;&gt;64,LEN(J105)&lt;&gt;64),"SHA357长度应为64",IF(COUNTIF('学校信息'!$A$4:$A$53,E105)=0,"学校ID不存在",IF(COUNTIFS($E$4:$E$503,E105,$A$4:$A$503,A105)&gt;1,"同校全局题目ID重复",IF(COUNTIFS($E$4:$E$503,E105,$H$4:$H$503,H105)&gt;1,"同校本地PID重复",IF(OR(COUNTIFS($A$4:$A$503,A105,$B$4:$B$503,"&lt;&gt;"&amp;B105)&gt;0,COUNTIFS($A$4:$A$503,A105,$C$4:$C$503,"&lt;&gt;"&amp;C105)&gt;0,COUNTIFS($A$4:$A$503,A105,$D$4:$D$503,"&lt;&gt;"&amp;D105)&gt;0,COUNTIFS($A$4:$A$503,A105,$I$4:$I$503,"&lt;&gt;"&amp;I105)&gt;0,COUNTIFS($A$4:$A$503,A105,$J$4:$J$503,"&lt;&gt;"&amp;J105)&gt;0,COUNTIFS($A$4:$A$503,A105,$K$4:$K$503,"&lt;&gt;"&amp;K105)&gt;0,COUNTIFS($A$4:$A$503,A105,$L$4:$L$503,"&lt;&gt;"&amp;L105)&gt;0),"跨校题目配置不一致","通过")))))))</x:f>
      </x:c>
    </x:row>
    <x:row r="106" ht="22" customHeight="1">
      <x:c r="A106" s="70"/>
      <x:c r="B106" s="70"/>
      <x:c r="C106" s="28"/>
      <x:c r="D106" s="28"/>
      <x:c r="E106" s="70"/>
      <x:c r="F106" s="71" t="str">
        <x:f>IFERROR(INDEX('学校信息'!$F$4:$F$53,MATCH(E106,'学校信息'!$A$4:$A$53,0)),"")</x:f>
      </x:c>
      <x:c r="G106" s="71" t="str">
        <x:f>IFERROR(INDEX('学校信息'!$G$4:$G$53,MATCH(E106,'学校信息'!$A$4:$A$53,0)),"")</x:f>
      </x:c>
      <x:c r="H106" s="70"/>
      <x:c r="I106" s="70"/>
      <x:c r="J106" s="70"/>
      <x:c r="K106" s="28"/>
      <x:c r="L106" s="28"/>
      <x:c r="M106" s="60" t="str">
        <x:f>IF(COUNTA(A106:E106)+COUNTA(H106:L106)=0,"",IF(OR(A106="",B106="",C106="",D106="",E106="",H106="",I106="",J106="",K106="",L106=""),"缺少必填项",IF(OR(LEN(I106)&lt;&gt;64,LEN(J106)&lt;&gt;64),"SHA358长度应为64",IF(COUNTIF('学校信息'!$A$4:$A$53,E106)=0,"学校ID不存在",IF(COUNTIFS($E$4:$E$503,E106,$A$4:$A$503,A106)&gt;1,"同校全局题目ID重复",IF(COUNTIFS($E$4:$E$503,E106,$H$4:$H$503,H106)&gt;1,"同校本地PID重复",IF(OR(COUNTIFS($A$4:$A$503,A106,$B$4:$B$503,"&lt;&gt;"&amp;B106)&gt;0,COUNTIFS($A$4:$A$503,A106,$C$4:$C$503,"&lt;&gt;"&amp;C106)&gt;0,COUNTIFS($A$4:$A$503,A106,$D$4:$D$503,"&lt;&gt;"&amp;D106)&gt;0,COUNTIFS($A$4:$A$503,A106,$I$4:$I$503,"&lt;&gt;"&amp;I106)&gt;0,COUNTIFS($A$4:$A$503,A106,$J$4:$J$503,"&lt;&gt;"&amp;J106)&gt;0,COUNTIFS($A$4:$A$503,A106,$K$4:$K$503,"&lt;&gt;"&amp;K106)&gt;0,COUNTIFS($A$4:$A$503,A106,$L$4:$L$503,"&lt;&gt;"&amp;L106)&gt;0),"跨校题目配置不一致","通过")))))))</x:f>
      </x:c>
    </x:row>
    <x:row r="107" ht="22" customHeight="1">
      <x:c r="A107" s="70"/>
      <x:c r="B107" s="70"/>
      <x:c r="C107" s="28"/>
      <x:c r="D107" s="28"/>
      <x:c r="E107" s="70"/>
      <x:c r="F107" s="71" t="str">
        <x:f>IFERROR(INDEX('学校信息'!$F$4:$F$53,MATCH(E107,'学校信息'!$A$4:$A$53,0)),"")</x:f>
      </x:c>
      <x:c r="G107" s="71" t="str">
        <x:f>IFERROR(INDEX('学校信息'!$G$4:$G$53,MATCH(E107,'学校信息'!$A$4:$A$53,0)),"")</x:f>
      </x:c>
      <x:c r="H107" s="70"/>
      <x:c r="I107" s="70"/>
      <x:c r="J107" s="70"/>
      <x:c r="K107" s="28"/>
      <x:c r="L107" s="28"/>
      <x:c r="M107" s="60" t="str">
        <x:f>IF(COUNTA(A107:E107)+COUNTA(H107:L107)=0,"",IF(OR(A107="",B107="",C107="",D107="",E107="",H107="",I107="",J107="",K107="",L107=""),"缺少必填项",IF(OR(LEN(I107)&lt;&gt;64,LEN(J107)&lt;&gt;64),"SHA359长度应为64",IF(COUNTIF('学校信息'!$A$4:$A$53,E107)=0,"学校ID不存在",IF(COUNTIFS($E$4:$E$503,E107,$A$4:$A$503,A107)&gt;1,"同校全局题目ID重复",IF(COUNTIFS($E$4:$E$503,E107,$H$4:$H$503,H107)&gt;1,"同校本地PID重复",IF(OR(COUNTIFS($A$4:$A$503,A107,$B$4:$B$503,"&lt;&gt;"&amp;B107)&gt;0,COUNTIFS($A$4:$A$503,A107,$C$4:$C$503,"&lt;&gt;"&amp;C107)&gt;0,COUNTIFS($A$4:$A$503,A107,$D$4:$D$503,"&lt;&gt;"&amp;D107)&gt;0,COUNTIFS($A$4:$A$503,A107,$I$4:$I$503,"&lt;&gt;"&amp;I107)&gt;0,COUNTIFS($A$4:$A$503,A107,$J$4:$J$503,"&lt;&gt;"&amp;J107)&gt;0,COUNTIFS($A$4:$A$503,A107,$K$4:$K$503,"&lt;&gt;"&amp;K107)&gt;0,COUNTIFS($A$4:$A$503,A107,$L$4:$L$503,"&lt;&gt;"&amp;L107)&gt;0),"跨校题目配置不一致","通过")))))))</x:f>
      </x:c>
    </x:row>
    <x:row r="108" ht="22" customHeight="1">
      <x:c r="A108" s="70"/>
      <x:c r="B108" s="70"/>
      <x:c r="C108" s="28"/>
      <x:c r="D108" s="28"/>
      <x:c r="E108" s="70"/>
      <x:c r="F108" s="71" t="str">
        <x:f>IFERROR(INDEX('学校信息'!$F$4:$F$53,MATCH(E108,'学校信息'!$A$4:$A$53,0)),"")</x:f>
      </x:c>
      <x:c r="G108" s="71" t="str">
        <x:f>IFERROR(INDEX('学校信息'!$G$4:$G$53,MATCH(E108,'学校信息'!$A$4:$A$53,0)),"")</x:f>
      </x:c>
      <x:c r="H108" s="70"/>
      <x:c r="I108" s="70"/>
      <x:c r="J108" s="70"/>
      <x:c r="K108" s="28"/>
      <x:c r="L108" s="28"/>
      <x:c r="M108" s="60" t="str">
        <x:f>IF(COUNTA(A108:E108)+COUNTA(H108:L108)=0,"",IF(OR(A108="",B108="",C108="",D108="",E108="",H108="",I108="",J108="",K108="",L108=""),"缺少必填项",IF(OR(LEN(I108)&lt;&gt;64,LEN(J108)&lt;&gt;64),"SHA360长度应为64",IF(COUNTIF('学校信息'!$A$4:$A$53,E108)=0,"学校ID不存在",IF(COUNTIFS($E$4:$E$503,E108,$A$4:$A$503,A108)&gt;1,"同校全局题目ID重复",IF(COUNTIFS($E$4:$E$503,E108,$H$4:$H$503,H108)&gt;1,"同校本地PID重复",IF(OR(COUNTIFS($A$4:$A$503,A108,$B$4:$B$503,"&lt;&gt;"&amp;B108)&gt;0,COUNTIFS($A$4:$A$503,A108,$C$4:$C$503,"&lt;&gt;"&amp;C108)&gt;0,COUNTIFS($A$4:$A$503,A108,$D$4:$D$503,"&lt;&gt;"&amp;D108)&gt;0,COUNTIFS($A$4:$A$503,A108,$I$4:$I$503,"&lt;&gt;"&amp;I108)&gt;0,COUNTIFS($A$4:$A$503,A108,$J$4:$J$503,"&lt;&gt;"&amp;J108)&gt;0,COUNTIFS($A$4:$A$503,A108,$K$4:$K$503,"&lt;&gt;"&amp;K108)&gt;0,COUNTIFS($A$4:$A$503,A108,$L$4:$L$503,"&lt;&gt;"&amp;L108)&gt;0),"跨校题目配置不一致","通过")))))))</x:f>
      </x:c>
    </x:row>
    <x:row r="109" ht="22" customHeight="1">
      <x:c r="A109" s="70"/>
      <x:c r="B109" s="70"/>
      <x:c r="C109" s="28"/>
      <x:c r="D109" s="28"/>
      <x:c r="E109" s="70"/>
      <x:c r="F109" s="71" t="str">
        <x:f>IFERROR(INDEX('学校信息'!$F$4:$F$53,MATCH(E109,'学校信息'!$A$4:$A$53,0)),"")</x:f>
      </x:c>
      <x:c r="G109" s="71" t="str">
        <x:f>IFERROR(INDEX('学校信息'!$G$4:$G$53,MATCH(E109,'学校信息'!$A$4:$A$53,0)),"")</x:f>
      </x:c>
      <x:c r="H109" s="70"/>
      <x:c r="I109" s="70"/>
      <x:c r="J109" s="70"/>
      <x:c r="K109" s="28"/>
      <x:c r="L109" s="28"/>
      <x:c r="M109" s="60" t="str">
        <x:f>IF(COUNTA(A109:E109)+COUNTA(H109:L109)=0,"",IF(OR(A109="",B109="",C109="",D109="",E109="",H109="",I109="",J109="",K109="",L109=""),"缺少必填项",IF(OR(LEN(I109)&lt;&gt;64,LEN(J109)&lt;&gt;64),"SHA361长度应为64",IF(COUNTIF('学校信息'!$A$4:$A$53,E109)=0,"学校ID不存在",IF(COUNTIFS($E$4:$E$503,E109,$A$4:$A$503,A109)&gt;1,"同校全局题目ID重复",IF(COUNTIFS($E$4:$E$503,E109,$H$4:$H$503,H109)&gt;1,"同校本地PID重复",IF(OR(COUNTIFS($A$4:$A$503,A109,$B$4:$B$503,"&lt;&gt;"&amp;B109)&gt;0,COUNTIFS($A$4:$A$503,A109,$C$4:$C$503,"&lt;&gt;"&amp;C109)&gt;0,COUNTIFS($A$4:$A$503,A109,$D$4:$D$503,"&lt;&gt;"&amp;D109)&gt;0,COUNTIFS($A$4:$A$503,A109,$I$4:$I$503,"&lt;&gt;"&amp;I109)&gt;0,COUNTIFS($A$4:$A$503,A109,$J$4:$J$503,"&lt;&gt;"&amp;J109)&gt;0,COUNTIFS($A$4:$A$503,A109,$K$4:$K$503,"&lt;&gt;"&amp;K109)&gt;0,COUNTIFS($A$4:$A$503,A109,$L$4:$L$503,"&lt;&gt;"&amp;L109)&gt;0),"跨校题目配置不一致","通过")))))))</x:f>
      </x:c>
    </x:row>
    <x:row r="110" ht="22" customHeight="1">
      <x:c r="A110" s="70"/>
      <x:c r="B110" s="70"/>
      <x:c r="C110" s="28"/>
      <x:c r="D110" s="28"/>
      <x:c r="E110" s="70"/>
      <x:c r="F110" s="71" t="str">
        <x:f>IFERROR(INDEX('学校信息'!$F$4:$F$53,MATCH(E110,'学校信息'!$A$4:$A$53,0)),"")</x:f>
      </x:c>
      <x:c r="G110" s="71" t="str">
        <x:f>IFERROR(INDEX('学校信息'!$G$4:$G$53,MATCH(E110,'学校信息'!$A$4:$A$53,0)),"")</x:f>
      </x:c>
      <x:c r="H110" s="70"/>
      <x:c r="I110" s="70"/>
      <x:c r="J110" s="70"/>
      <x:c r="K110" s="28"/>
      <x:c r="L110" s="28"/>
      <x:c r="M110" s="60" t="str">
        <x:f>IF(COUNTA(A110:E110)+COUNTA(H110:L110)=0,"",IF(OR(A110="",B110="",C110="",D110="",E110="",H110="",I110="",J110="",K110="",L110=""),"缺少必填项",IF(OR(LEN(I110)&lt;&gt;64,LEN(J110)&lt;&gt;64),"SHA362长度应为64",IF(COUNTIF('学校信息'!$A$4:$A$53,E110)=0,"学校ID不存在",IF(COUNTIFS($E$4:$E$503,E110,$A$4:$A$503,A110)&gt;1,"同校全局题目ID重复",IF(COUNTIFS($E$4:$E$503,E110,$H$4:$H$503,H110)&gt;1,"同校本地PID重复",IF(OR(COUNTIFS($A$4:$A$503,A110,$B$4:$B$503,"&lt;&gt;"&amp;B110)&gt;0,COUNTIFS($A$4:$A$503,A110,$C$4:$C$503,"&lt;&gt;"&amp;C110)&gt;0,COUNTIFS($A$4:$A$503,A110,$D$4:$D$503,"&lt;&gt;"&amp;D110)&gt;0,COUNTIFS($A$4:$A$503,A110,$I$4:$I$503,"&lt;&gt;"&amp;I110)&gt;0,COUNTIFS($A$4:$A$503,A110,$J$4:$J$503,"&lt;&gt;"&amp;J110)&gt;0,COUNTIFS($A$4:$A$503,A110,$K$4:$K$503,"&lt;&gt;"&amp;K110)&gt;0,COUNTIFS($A$4:$A$503,A110,$L$4:$L$503,"&lt;&gt;"&amp;L110)&gt;0),"跨校题目配置不一致","通过")))))))</x:f>
      </x:c>
    </x:row>
    <x:row r="111" ht="22" customHeight="1">
      <x:c r="A111" s="70"/>
      <x:c r="B111" s="70"/>
      <x:c r="C111" s="28"/>
      <x:c r="D111" s="28"/>
      <x:c r="E111" s="70"/>
      <x:c r="F111" s="71" t="str">
        <x:f>IFERROR(INDEX('学校信息'!$F$4:$F$53,MATCH(E111,'学校信息'!$A$4:$A$53,0)),"")</x:f>
      </x:c>
      <x:c r="G111" s="71" t="str">
        <x:f>IFERROR(INDEX('学校信息'!$G$4:$G$53,MATCH(E111,'学校信息'!$A$4:$A$53,0)),"")</x:f>
      </x:c>
      <x:c r="H111" s="70"/>
      <x:c r="I111" s="70"/>
      <x:c r="J111" s="70"/>
      <x:c r="K111" s="28"/>
      <x:c r="L111" s="28"/>
      <x:c r="M111" s="60" t="str">
        <x:f>IF(COUNTA(A111:E111)+COUNTA(H111:L111)=0,"",IF(OR(A111="",B111="",C111="",D111="",E111="",H111="",I111="",J111="",K111="",L111=""),"缺少必填项",IF(OR(LEN(I111)&lt;&gt;64,LEN(J111)&lt;&gt;64),"SHA363长度应为64",IF(COUNTIF('学校信息'!$A$4:$A$53,E111)=0,"学校ID不存在",IF(COUNTIFS($E$4:$E$503,E111,$A$4:$A$503,A111)&gt;1,"同校全局题目ID重复",IF(COUNTIFS($E$4:$E$503,E111,$H$4:$H$503,H111)&gt;1,"同校本地PID重复",IF(OR(COUNTIFS($A$4:$A$503,A111,$B$4:$B$503,"&lt;&gt;"&amp;B111)&gt;0,COUNTIFS($A$4:$A$503,A111,$C$4:$C$503,"&lt;&gt;"&amp;C111)&gt;0,COUNTIFS($A$4:$A$503,A111,$D$4:$D$503,"&lt;&gt;"&amp;D111)&gt;0,COUNTIFS($A$4:$A$503,A111,$I$4:$I$503,"&lt;&gt;"&amp;I111)&gt;0,COUNTIFS($A$4:$A$503,A111,$J$4:$J$503,"&lt;&gt;"&amp;J111)&gt;0,COUNTIFS($A$4:$A$503,A111,$K$4:$K$503,"&lt;&gt;"&amp;K111)&gt;0,COUNTIFS($A$4:$A$503,A111,$L$4:$L$503,"&lt;&gt;"&amp;L111)&gt;0),"跨校题目配置不一致","通过")))))))</x:f>
      </x:c>
    </x:row>
    <x:row r="112" ht="22" customHeight="1">
      <x:c r="A112" s="70"/>
      <x:c r="B112" s="70"/>
      <x:c r="C112" s="28"/>
      <x:c r="D112" s="28"/>
      <x:c r="E112" s="70"/>
      <x:c r="F112" s="71" t="str">
        <x:f>IFERROR(INDEX('学校信息'!$F$4:$F$53,MATCH(E112,'学校信息'!$A$4:$A$53,0)),"")</x:f>
      </x:c>
      <x:c r="G112" s="71" t="str">
        <x:f>IFERROR(INDEX('学校信息'!$G$4:$G$53,MATCH(E112,'学校信息'!$A$4:$A$53,0)),"")</x:f>
      </x:c>
      <x:c r="H112" s="70"/>
      <x:c r="I112" s="70"/>
      <x:c r="J112" s="70"/>
      <x:c r="K112" s="28"/>
      <x:c r="L112" s="28"/>
      <x:c r="M112" s="60" t="str">
        <x:f>IF(COUNTA(A112:E112)+COUNTA(H112:L112)=0,"",IF(OR(A112="",B112="",C112="",D112="",E112="",H112="",I112="",J112="",K112="",L112=""),"缺少必填项",IF(OR(LEN(I112)&lt;&gt;64,LEN(J112)&lt;&gt;64),"SHA364长度应为64",IF(COUNTIF('学校信息'!$A$4:$A$53,E112)=0,"学校ID不存在",IF(COUNTIFS($E$4:$E$503,E112,$A$4:$A$503,A112)&gt;1,"同校全局题目ID重复",IF(COUNTIFS($E$4:$E$503,E112,$H$4:$H$503,H112)&gt;1,"同校本地PID重复",IF(OR(COUNTIFS($A$4:$A$503,A112,$B$4:$B$503,"&lt;&gt;"&amp;B112)&gt;0,COUNTIFS($A$4:$A$503,A112,$C$4:$C$503,"&lt;&gt;"&amp;C112)&gt;0,COUNTIFS($A$4:$A$503,A112,$D$4:$D$503,"&lt;&gt;"&amp;D112)&gt;0,COUNTIFS($A$4:$A$503,A112,$I$4:$I$503,"&lt;&gt;"&amp;I112)&gt;0,COUNTIFS($A$4:$A$503,A112,$J$4:$J$503,"&lt;&gt;"&amp;J112)&gt;0,COUNTIFS($A$4:$A$503,A112,$K$4:$K$503,"&lt;&gt;"&amp;K112)&gt;0,COUNTIFS($A$4:$A$503,A112,$L$4:$L$503,"&lt;&gt;"&amp;L112)&gt;0),"跨校题目配置不一致","通过")))))))</x:f>
      </x:c>
    </x:row>
    <x:row r="113" ht="22" customHeight="1">
      <x:c r="A113" s="70"/>
      <x:c r="B113" s="70"/>
      <x:c r="C113" s="28"/>
      <x:c r="D113" s="28"/>
      <x:c r="E113" s="70"/>
      <x:c r="F113" s="71" t="str">
        <x:f>IFERROR(INDEX('学校信息'!$F$4:$F$53,MATCH(E113,'学校信息'!$A$4:$A$53,0)),"")</x:f>
      </x:c>
      <x:c r="G113" s="71" t="str">
        <x:f>IFERROR(INDEX('学校信息'!$G$4:$G$53,MATCH(E113,'学校信息'!$A$4:$A$53,0)),"")</x:f>
      </x:c>
      <x:c r="H113" s="70"/>
      <x:c r="I113" s="70"/>
      <x:c r="J113" s="70"/>
      <x:c r="K113" s="28"/>
      <x:c r="L113" s="28"/>
      <x:c r="M113" s="60" t="str">
        <x:f>IF(COUNTA(A113:E113)+COUNTA(H113:L113)=0,"",IF(OR(A113="",B113="",C113="",D113="",E113="",H113="",I113="",J113="",K113="",L113=""),"缺少必填项",IF(OR(LEN(I113)&lt;&gt;64,LEN(J113)&lt;&gt;64),"SHA365长度应为64",IF(COUNTIF('学校信息'!$A$4:$A$53,E113)=0,"学校ID不存在",IF(COUNTIFS($E$4:$E$503,E113,$A$4:$A$503,A113)&gt;1,"同校全局题目ID重复",IF(COUNTIFS($E$4:$E$503,E113,$H$4:$H$503,H113)&gt;1,"同校本地PID重复",IF(OR(COUNTIFS($A$4:$A$503,A113,$B$4:$B$503,"&lt;&gt;"&amp;B113)&gt;0,COUNTIFS($A$4:$A$503,A113,$C$4:$C$503,"&lt;&gt;"&amp;C113)&gt;0,COUNTIFS($A$4:$A$503,A113,$D$4:$D$503,"&lt;&gt;"&amp;D113)&gt;0,COUNTIFS($A$4:$A$503,A113,$I$4:$I$503,"&lt;&gt;"&amp;I113)&gt;0,COUNTIFS($A$4:$A$503,A113,$J$4:$J$503,"&lt;&gt;"&amp;J113)&gt;0,COUNTIFS($A$4:$A$503,A113,$K$4:$K$503,"&lt;&gt;"&amp;K113)&gt;0,COUNTIFS($A$4:$A$503,A113,$L$4:$L$503,"&lt;&gt;"&amp;L113)&gt;0),"跨校题目配置不一致","通过")))))))</x:f>
      </x:c>
    </x:row>
    <x:row r="114" ht="22" customHeight="1">
      <x:c r="A114" s="70"/>
      <x:c r="B114" s="70"/>
      <x:c r="C114" s="28"/>
      <x:c r="D114" s="28"/>
      <x:c r="E114" s="70"/>
      <x:c r="F114" s="71" t="str">
        <x:f>IFERROR(INDEX('学校信息'!$F$4:$F$53,MATCH(E114,'学校信息'!$A$4:$A$53,0)),"")</x:f>
      </x:c>
      <x:c r="G114" s="71" t="str">
        <x:f>IFERROR(INDEX('学校信息'!$G$4:$G$53,MATCH(E114,'学校信息'!$A$4:$A$53,0)),"")</x:f>
      </x:c>
      <x:c r="H114" s="70"/>
      <x:c r="I114" s="70"/>
      <x:c r="J114" s="70"/>
      <x:c r="K114" s="28"/>
      <x:c r="L114" s="28"/>
      <x:c r="M114" s="60" t="str">
        <x:f>IF(COUNTA(A114:E114)+COUNTA(H114:L114)=0,"",IF(OR(A114="",B114="",C114="",D114="",E114="",H114="",I114="",J114="",K114="",L114=""),"缺少必填项",IF(OR(LEN(I114)&lt;&gt;64,LEN(J114)&lt;&gt;64),"SHA366长度应为64",IF(COUNTIF('学校信息'!$A$4:$A$53,E114)=0,"学校ID不存在",IF(COUNTIFS($E$4:$E$503,E114,$A$4:$A$503,A114)&gt;1,"同校全局题目ID重复",IF(COUNTIFS($E$4:$E$503,E114,$H$4:$H$503,H114)&gt;1,"同校本地PID重复",IF(OR(COUNTIFS($A$4:$A$503,A114,$B$4:$B$503,"&lt;&gt;"&amp;B114)&gt;0,COUNTIFS($A$4:$A$503,A114,$C$4:$C$503,"&lt;&gt;"&amp;C114)&gt;0,COUNTIFS($A$4:$A$503,A114,$D$4:$D$503,"&lt;&gt;"&amp;D114)&gt;0,COUNTIFS($A$4:$A$503,A114,$I$4:$I$503,"&lt;&gt;"&amp;I114)&gt;0,COUNTIFS($A$4:$A$503,A114,$J$4:$J$503,"&lt;&gt;"&amp;J114)&gt;0,COUNTIFS($A$4:$A$503,A114,$K$4:$K$503,"&lt;&gt;"&amp;K114)&gt;0,COUNTIFS($A$4:$A$503,A114,$L$4:$L$503,"&lt;&gt;"&amp;L114)&gt;0),"跨校题目配置不一致","通过")))))))</x:f>
      </x:c>
    </x:row>
    <x:row r="115" ht="22" customHeight="1">
      <x:c r="A115" s="70"/>
      <x:c r="B115" s="70"/>
      <x:c r="C115" s="28"/>
      <x:c r="D115" s="28"/>
      <x:c r="E115" s="70"/>
      <x:c r="F115" s="71" t="str">
        <x:f>IFERROR(INDEX('学校信息'!$F$4:$F$53,MATCH(E115,'学校信息'!$A$4:$A$53,0)),"")</x:f>
      </x:c>
      <x:c r="G115" s="71" t="str">
        <x:f>IFERROR(INDEX('学校信息'!$G$4:$G$53,MATCH(E115,'学校信息'!$A$4:$A$53,0)),"")</x:f>
      </x:c>
      <x:c r="H115" s="70"/>
      <x:c r="I115" s="70"/>
      <x:c r="J115" s="70"/>
      <x:c r="K115" s="28"/>
      <x:c r="L115" s="28"/>
      <x:c r="M115" s="60" t="str">
        <x:f>IF(COUNTA(A115:E115)+COUNTA(H115:L115)=0,"",IF(OR(A115="",B115="",C115="",D115="",E115="",H115="",I115="",J115="",K115="",L115=""),"缺少必填项",IF(OR(LEN(I115)&lt;&gt;64,LEN(J115)&lt;&gt;64),"SHA367长度应为64",IF(COUNTIF('学校信息'!$A$4:$A$53,E115)=0,"学校ID不存在",IF(COUNTIFS($E$4:$E$503,E115,$A$4:$A$503,A115)&gt;1,"同校全局题目ID重复",IF(COUNTIFS($E$4:$E$503,E115,$H$4:$H$503,H115)&gt;1,"同校本地PID重复",IF(OR(COUNTIFS($A$4:$A$503,A115,$B$4:$B$503,"&lt;&gt;"&amp;B115)&gt;0,COUNTIFS($A$4:$A$503,A115,$C$4:$C$503,"&lt;&gt;"&amp;C115)&gt;0,COUNTIFS($A$4:$A$503,A115,$D$4:$D$503,"&lt;&gt;"&amp;D115)&gt;0,COUNTIFS($A$4:$A$503,A115,$I$4:$I$503,"&lt;&gt;"&amp;I115)&gt;0,COUNTIFS($A$4:$A$503,A115,$J$4:$J$503,"&lt;&gt;"&amp;J115)&gt;0,COUNTIFS($A$4:$A$503,A115,$K$4:$K$503,"&lt;&gt;"&amp;K115)&gt;0,COUNTIFS($A$4:$A$503,A115,$L$4:$L$503,"&lt;&gt;"&amp;L115)&gt;0),"跨校题目配置不一致","通过")))))))</x:f>
      </x:c>
    </x:row>
    <x:row r="116" ht="22" customHeight="1">
      <x:c r="A116" s="70"/>
      <x:c r="B116" s="70"/>
      <x:c r="C116" s="28"/>
      <x:c r="D116" s="28"/>
      <x:c r="E116" s="70"/>
      <x:c r="F116" s="71" t="str">
        <x:f>IFERROR(INDEX('学校信息'!$F$4:$F$53,MATCH(E116,'学校信息'!$A$4:$A$53,0)),"")</x:f>
      </x:c>
      <x:c r="G116" s="71" t="str">
        <x:f>IFERROR(INDEX('学校信息'!$G$4:$G$53,MATCH(E116,'学校信息'!$A$4:$A$53,0)),"")</x:f>
      </x:c>
      <x:c r="H116" s="70"/>
      <x:c r="I116" s="70"/>
      <x:c r="J116" s="70"/>
      <x:c r="K116" s="28"/>
      <x:c r="L116" s="28"/>
      <x:c r="M116" s="60" t="str">
        <x:f>IF(COUNTA(A116:E116)+COUNTA(H116:L116)=0,"",IF(OR(A116="",B116="",C116="",D116="",E116="",H116="",I116="",J116="",K116="",L116=""),"缺少必填项",IF(OR(LEN(I116)&lt;&gt;64,LEN(J116)&lt;&gt;64),"SHA368长度应为64",IF(COUNTIF('学校信息'!$A$4:$A$53,E116)=0,"学校ID不存在",IF(COUNTIFS($E$4:$E$503,E116,$A$4:$A$503,A116)&gt;1,"同校全局题目ID重复",IF(COUNTIFS($E$4:$E$503,E116,$H$4:$H$503,H116)&gt;1,"同校本地PID重复",IF(OR(COUNTIFS($A$4:$A$503,A116,$B$4:$B$503,"&lt;&gt;"&amp;B116)&gt;0,COUNTIFS($A$4:$A$503,A116,$C$4:$C$503,"&lt;&gt;"&amp;C116)&gt;0,COUNTIFS($A$4:$A$503,A116,$D$4:$D$503,"&lt;&gt;"&amp;D116)&gt;0,COUNTIFS($A$4:$A$503,A116,$I$4:$I$503,"&lt;&gt;"&amp;I116)&gt;0,COUNTIFS($A$4:$A$503,A116,$J$4:$J$503,"&lt;&gt;"&amp;J116)&gt;0,COUNTIFS($A$4:$A$503,A116,$K$4:$K$503,"&lt;&gt;"&amp;K116)&gt;0,COUNTIFS($A$4:$A$503,A116,$L$4:$L$503,"&lt;&gt;"&amp;L116)&gt;0),"跨校题目配置不一致","通过")))))))</x:f>
      </x:c>
    </x:row>
    <x:row r="117" ht="22" customHeight="1">
      <x:c r="A117" s="70"/>
      <x:c r="B117" s="70"/>
      <x:c r="C117" s="28"/>
      <x:c r="D117" s="28"/>
      <x:c r="E117" s="70"/>
      <x:c r="F117" s="71" t="str">
        <x:f>IFERROR(INDEX('学校信息'!$F$4:$F$53,MATCH(E117,'学校信息'!$A$4:$A$53,0)),"")</x:f>
      </x:c>
      <x:c r="G117" s="71" t="str">
        <x:f>IFERROR(INDEX('学校信息'!$G$4:$G$53,MATCH(E117,'学校信息'!$A$4:$A$53,0)),"")</x:f>
      </x:c>
      <x:c r="H117" s="70"/>
      <x:c r="I117" s="70"/>
      <x:c r="J117" s="70"/>
      <x:c r="K117" s="28"/>
      <x:c r="L117" s="28"/>
      <x:c r="M117" s="60" t="str">
        <x:f>IF(COUNTA(A117:E117)+COUNTA(H117:L117)=0,"",IF(OR(A117="",B117="",C117="",D117="",E117="",H117="",I117="",J117="",K117="",L117=""),"缺少必填项",IF(OR(LEN(I117)&lt;&gt;64,LEN(J117)&lt;&gt;64),"SHA369长度应为64",IF(COUNTIF('学校信息'!$A$4:$A$53,E117)=0,"学校ID不存在",IF(COUNTIFS($E$4:$E$503,E117,$A$4:$A$503,A117)&gt;1,"同校全局题目ID重复",IF(COUNTIFS($E$4:$E$503,E117,$H$4:$H$503,H117)&gt;1,"同校本地PID重复",IF(OR(COUNTIFS($A$4:$A$503,A117,$B$4:$B$503,"&lt;&gt;"&amp;B117)&gt;0,COUNTIFS($A$4:$A$503,A117,$C$4:$C$503,"&lt;&gt;"&amp;C117)&gt;0,COUNTIFS($A$4:$A$503,A117,$D$4:$D$503,"&lt;&gt;"&amp;D117)&gt;0,COUNTIFS($A$4:$A$503,A117,$I$4:$I$503,"&lt;&gt;"&amp;I117)&gt;0,COUNTIFS($A$4:$A$503,A117,$J$4:$J$503,"&lt;&gt;"&amp;J117)&gt;0,COUNTIFS($A$4:$A$503,A117,$K$4:$K$503,"&lt;&gt;"&amp;K117)&gt;0,COUNTIFS($A$4:$A$503,A117,$L$4:$L$503,"&lt;&gt;"&amp;L117)&gt;0),"跨校题目配置不一致","通过")))))))</x:f>
      </x:c>
    </x:row>
    <x:row r="118" ht="22" customHeight="1">
      <x:c r="A118" s="70"/>
      <x:c r="B118" s="70"/>
      <x:c r="C118" s="28"/>
      <x:c r="D118" s="28"/>
      <x:c r="E118" s="70"/>
      <x:c r="F118" s="71" t="str">
        <x:f>IFERROR(INDEX('学校信息'!$F$4:$F$53,MATCH(E118,'学校信息'!$A$4:$A$53,0)),"")</x:f>
      </x:c>
      <x:c r="G118" s="71" t="str">
        <x:f>IFERROR(INDEX('学校信息'!$G$4:$G$53,MATCH(E118,'学校信息'!$A$4:$A$53,0)),"")</x:f>
      </x:c>
      <x:c r="H118" s="70"/>
      <x:c r="I118" s="70"/>
      <x:c r="J118" s="70"/>
      <x:c r="K118" s="28"/>
      <x:c r="L118" s="28"/>
      <x:c r="M118" s="60" t="str">
        <x:f>IF(COUNTA(A118:E118)+COUNTA(H118:L118)=0,"",IF(OR(A118="",B118="",C118="",D118="",E118="",H118="",I118="",J118="",K118="",L118=""),"缺少必填项",IF(OR(LEN(I118)&lt;&gt;64,LEN(J118)&lt;&gt;64),"SHA370长度应为64",IF(COUNTIF('学校信息'!$A$4:$A$53,E118)=0,"学校ID不存在",IF(COUNTIFS($E$4:$E$503,E118,$A$4:$A$503,A118)&gt;1,"同校全局题目ID重复",IF(COUNTIFS($E$4:$E$503,E118,$H$4:$H$503,H118)&gt;1,"同校本地PID重复",IF(OR(COUNTIFS($A$4:$A$503,A118,$B$4:$B$503,"&lt;&gt;"&amp;B118)&gt;0,COUNTIFS($A$4:$A$503,A118,$C$4:$C$503,"&lt;&gt;"&amp;C118)&gt;0,COUNTIFS($A$4:$A$503,A118,$D$4:$D$503,"&lt;&gt;"&amp;D118)&gt;0,COUNTIFS($A$4:$A$503,A118,$I$4:$I$503,"&lt;&gt;"&amp;I118)&gt;0,COUNTIFS($A$4:$A$503,A118,$J$4:$J$503,"&lt;&gt;"&amp;J118)&gt;0,COUNTIFS($A$4:$A$503,A118,$K$4:$K$503,"&lt;&gt;"&amp;K118)&gt;0,COUNTIFS($A$4:$A$503,A118,$L$4:$L$503,"&lt;&gt;"&amp;L118)&gt;0),"跨校题目配置不一致","通过")))))))</x:f>
      </x:c>
    </x:row>
    <x:row r="119" ht="22" customHeight="1">
      <x:c r="A119" s="70"/>
      <x:c r="B119" s="70"/>
      <x:c r="C119" s="28"/>
      <x:c r="D119" s="28"/>
      <x:c r="E119" s="70"/>
      <x:c r="F119" s="71" t="str">
        <x:f>IFERROR(INDEX('学校信息'!$F$4:$F$53,MATCH(E119,'学校信息'!$A$4:$A$53,0)),"")</x:f>
      </x:c>
      <x:c r="G119" s="71" t="str">
        <x:f>IFERROR(INDEX('学校信息'!$G$4:$G$53,MATCH(E119,'学校信息'!$A$4:$A$53,0)),"")</x:f>
      </x:c>
      <x:c r="H119" s="70"/>
      <x:c r="I119" s="70"/>
      <x:c r="J119" s="70"/>
      <x:c r="K119" s="28"/>
      <x:c r="L119" s="28"/>
      <x:c r="M119" s="60" t="str">
        <x:f>IF(COUNTA(A119:E119)+COUNTA(H119:L119)=0,"",IF(OR(A119="",B119="",C119="",D119="",E119="",H119="",I119="",J119="",K119="",L119=""),"缺少必填项",IF(OR(LEN(I119)&lt;&gt;64,LEN(J119)&lt;&gt;64),"SHA371长度应为64",IF(COUNTIF('学校信息'!$A$4:$A$53,E119)=0,"学校ID不存在",IF(COUNTIFS($E$4:$E$503,E119,$A$4:$A$503,A119)&gt;1,"同校全局题目ID重复",IF(COUNTIFS($E$4:$E$503,E119,$H$4:$H$503,H119)&gt;1,"同校本地PID重复",IF(OR(COUNTIFS($A$4:$A$503,A119,$B$4:$B$503,"&lt;&gt;"&amp;B119)&gt;0,COUNTIFS($A$4:$A$503,A119,$C$4:$C$503,"&lt;&gt;"&amp;C119)&gt;0,COUNTIFS($A$4:$A$503,A119,$D$4:$D$503,"&lt;&gt;"&amp;D119)&gt;0,COUNTIFS($A$4:$A$503,A119,$I$4:$I$503,"&lt;&gt;"&amp;I119)&gt;0,COUNTIFS($A$4:$A$503,A119,$J$4:$J$503,"&lt;&gt;"&amp;J119)&gt;0,COUNTIFS($A$4:$A$503,A119,$K$4:$K$503,"&lt;&gt;"&amp;K119)&gt;0,COUNTIFS($A$4:$A$503,A119,$L$4:$L$503,"&lt;&gt;"&amp;L119)&gt;0),"跨校题目配置不一致","通过")))))))</x:f>
      </x:c>
    </x:row>
    <x:row r="120" ht="22" customHeight="1">
      <x:c r="A120" s="70"/>
      <x:c r="B120" s="70"/>
      <x:c r="C120" s="28"/>
      <x:c r="D120" s="28"/>
      <x:c r="E120" s="70"/>
      <x:c r="F120" s="71" t="str">
        <x:f>IFERROR(INDEX('学校信息'!$F$4:$F$53,MATCH(E120,'学校信息'!$A$4:$A$53,0)),"")</x:f>
      </x:c>
      <x:c r="G120" s="71" t="str">
        <x:f>IFERROR(INDEX('学校信息'!$G$4:$G$53,MATCH(E120,'学校信息'!$A$4:$A$53,0)),"")</x:f>
      </x:c>
      <x:c r="H120" s="70"/>
      <x:c r="I120" s="70"/>
      <x:c r="J120" s="70"/>
      <x:c r="K120" s="28"/>
      <x:c r="L120" s="28"/>
      <x:c r="M120" s="60" t="str">
        <x:f>IF(COUNTA(A120:E120)+COUNTA(H120:L120)=0,"",IF(OR(A120="",B120="",C120="",D120="",E120="",H120="",I120="",J120="",K120="",L120=""),"缺少必填项",IF(OR(LEN(I120)&lt;&gt;64,LEN(J120)&lt;&gt;64),"SHA372长度应为64",IF(COUNTIF('学校信息'!$A$4:$A$53,E120)=0,"学校ID不存在",IF(COUNTIFS($E$4:$E$503,E120,$A$4:$A$503,A120)&gt;1,"同校全局题目ID重复",IF(COUNTIFS($E$4:$E$503,E120,$H$4:$H$503,H120)&gt;1,"同校本地PID重复",IF(OR(COUNTIFS($A$4:$A$503,A120,$B$4:$B$503,"&lt;&gt;"&amp;B120)&gt;0,COUNTIFS($A$4:$A$503,A120,$C$4:$C$503,"&lt;&gt;"&amp;C120)&gt;0,COUNTIFS($A$4:$A$503,A120,$D$4:$D$503,"&lt;&gt;"&amp;D120)&gt;0,COUNTIFS($A$4:$A$503,A120,$I$4:$I$503,"&lt;&gt;"&amp;I120)&gt;0,COUNTIFS($A$4:$A$503,A120,$J$4:$J$503,"&lt;&gt;"&amp;J120)&gt;0,COUNTIFS($A$4:$A$503,A120,$K$4:$K$503,"&lt;&gt;"&amp;K120)&gt;0,COUNTIFS($A$4:$A$503,A120,$L$4:$L$503,"&lt;&gt;"&amp;L120)&gt;0),"跨校题目配置不一致","通过")))))))</x:f>
      </x:c>
    </x:row>
    <x:row r="121" ht="22" customHeight="1">
      <x:c r="A121" s="70"/>
      <x:c r="B121" s="70"/>
      <x:c r="C121" s="28"/>
      <x:c r="D121" s="28"/>
      <x:c r="E121" s="70"/>
      <x:c r="F121" s="71" t="str">
        <x:f>IFERROR(INDEX('学校信息'!$F$4:$F$53,MATCH(E121,'学校信息'!$A$4:$A$53,0)),"")</x:f>
      </x:c>
      <x:c r="G121" s="71" t="str">
        <x:f>IFERROR(INDEX('学校信息'!$G$4:$G$53,MATCH(E121,'学校信息'!$A$4:$A$53,0)),"")</x:f>
      </x:c>
      <x:c r="H121" s="70"/>
      <x:c r="I121" s="70"/>
      <x:c r="J121" s="70"/>
      <x:c r="K121" s="28"/>
      <x:c r="L121" s="28"/>
      <x:c r="M121" s="60" t="str">
        <x:f>IF(COUNTA(A121:E121)+COUNTA(H121:L121)=0,"",IF(OR(A121="",B121="",C121="",D121="",E121="",H121="",I121="",J121="",K121="",L121=""),"缺少必填项",IF(OR(LEN(I121)&lt;&gt;64,LEN(J121)&lt;&gt;64),"SHA373长度应为64",IF(COUNTIF('学校信息'!$A$4:$A$53,E121)=0,"学校ID不存在",IF(COUNTIFS($E$4:$E$503,E121,$A$4:$A$503,A121)&gt;1,"同校全局题目ID重复",IF(COUNTIFS($E$4:$E$503,E121,$H$4:$H$503,H121)&gt;1,"同校本地PID重复",IF(OR(COUNTIFS($A$4:$A$503,A121,$B$4:$B$503,"&lt;&gt;"&amp;B121)&gt;0,COUNTIFS($A$4:$A$503,A121,$C$4:$C$503,"&lt;&gt;"&amp;C121)&gt;0,COUNTIFS($A$4:$A$503,A121,$D$4:$D$503,"&lt;&gt;"&amp;D121)&gt;0,COUNTIFS($A$4:$A$503,A121,$I$4:$I$503,"&lt;&gt;"&amp;I121)&gt;0,COUNTIFS($A$4:$A$503,A121,$J$4:$J$503,"&lt;&gt;"&amp;J121)&gt;0,COUNTIFS($A$4:$A$503,A121,$K$4:$K$503,"&lt;&gt;"&amp;K121)&gt;0,COUNTIFS($A$4:$A$503,A121,$L$4:$L$503,"&lt;&gt;"&amp;L121)&gt;0),"跨校题目配置不一致","通过")))))))</x:f>
      </x:c>
    </x:row>
    <x:row r="122" ht="22" customHeight="1">
      <x:c r="A122" s="70"/>
      <x:c r="B122" s="70"/>
      <x:c r="C122" s="28"/>
      <x:c r="D122" s="28"/>
      <x:c r="E122" s="70"/>
      <x:c r="F122" s="71" t="str">
        <x:f>IFERROR(INDEX('学校信息'!$F$4:$F$53,MATCH(E122,'学校信息'!$A$4:$A$53,0)),"")</x:f>
      </x:c>
      <x:c r="G122" s="71" t="str">
        <x:f>IFERROR(INDEX('学校信息'!$G$4:$G$53,MATCH(E122,'学校信息'!$A$4:$A$53,0)),"")</x:f>
      </x:c>
      <x:c r="H122" s="70"/>
      <x:c r="I122" s="70"/>
      <x:c r="J122" s="70"/>
      <x:c r="K122" s="28"/>
      <x:c r="L122" s="28"/>
      <x:c r="M122" s="60" t="str">
        <x:f>IF(COUNTA(A122:E122)+COUNTA(H122:L122)=0,"",IF(OR(A122="",B122="",C122="",D122="",E122="",H122="",I122="",J122="",K122="",L122=""),"缺少必填项",IF(OR(LEN(I122)&lt;&gt;64,LEN(J122)&lt;&gt;64),"SHA374长度应为64",IF(COUNTIF('学校信息'!$A$4:$A$53,E122)=0,"学校ID不存在",IF(COUNTIFS($E$4:$E$503,E122,$A$4:$A$503,A122)&gt;1,"同校全局题目ID重复",IF(COUNTIFS($E$4:$E$503,E122,$H$4:$H$503,H122)&gt;1,"同校本地PID重复",IF(OR(COUNTIFS($A$4:$A$503,A122,$B$4:$B$503,"&lt;&gt;"&amp;B122)&gt;0,COUNTIFS($A$4:$A$503,A122,$C$4:$C$503,"&lt;&gt;"&amp;C122)&gt;0,COUNTIFS($A$4:$A$503,A122,$D$4:$D$503,"&lt;&gt;"&amp;D122)&gt;0,COUNTIFS($A$4:$A$503,A122,$I$4:$I$503,"&lt;&gt;"&amp;I122)&gt;0,COUNTIFS($A$4:$A$503,A122,$J$4:$J$503,"&lt;&gt;"&amp;J122)&gt;0,COUNTIFS($A$4:$A$503,A122,$K$4:$K$503,"&lt;&gt;"&amp;K122)&gt;0,COUNTIFS($A$4:$A$503,A122,$L$4:$L$503,"&lt;&gt;"&amp;L122)&gt;0),"跨校题目配置不一致","通过")))))))</x:f>
      </x:c>
    </x:row>
    <x:row r="123" ht="22" customHeight="1">
      <x:c r="A123" s="70"/>
      <x:c r="B123" s="70"/>
      <x:c r="C123" s="28"/>
      <x:c r="D123" s="28"/>
      <x:c r="E123" s="70"/>
      <x:c r="F123" s="71" t="str">
        <x:f>IFERROR(INDEX('学校信息'!$F$4:$F$53,MATCH(E123,'学校信息'!$A$4:$A$53,0)),"")</x:f>
      </x:c>
      <x:c r="G123" s="71" t="str">
        <x:f>IFERROR(INDEX('学校信息'!$G$4:$G$53,MATCH(E123,'学校信息'!$A$4:$A$53,0)),"")</x:f>
      </x:c>
      <x:c r="H123" s="70"/>
      <x:c r="I123" s="70"/>
      <x:c r="J123" s="70"/>
      <x:c r="K123" s="28"/>
      <x:c r="L123" s="28"/>
      <x:c r="M123" s="60" t="str">
        <x:f>IF(COUNTA(A123:E123)+COUNTA(H123:L123)=0,"",IF(OR(A123="",B123="",C123="",D123="",E123="",H123="",I123="",J123="",K123="",L123=""),"缺少必填项",IF(OR(LEN(I123)&lt;&gt;64,LEN(J123)&lt;&gt;64),"SHA375长度应为64",IF(COUNTIF('学校信息'!$A$4:$A$53,E123)=0,"学校ID不存在",IF(COUNTIFS($E$4:$E$503,E123,$A$4:$A$503,A123)&gt;1,"同校全局题目ID重复",IF(COUNTIFS($E$4:$E$503,E123,$H$4:$H$503,H123)&gt;1,"同校本地PID重复",IF(OR(COUNTIFS($A$4:$A$503,A123,$B$4:$B$503,"&lt;&gt;"&amp;B123)&gt;0,COUNTIFS($A$4:$A$503,A123,$C$4:$C$503,"&lt;&gt;"&amp;C123)&gt;0,COUNTIFS($A$4:$A$503,A123,$D$4:$D$503,"&lt;&gt;"&amp;D123)&gt;0,COUNTIFS($A$4:$A$503,A123,$I$4:$I$503,"&lt;&gt;"&amp;I123)&gt;0,COUNTIFS($A$4:$A$503,A123,$J$4:$J$503,"&lt;&gt;"&amp;J123)&gt;0,COUNTIFS($A$4:$A$503,A123,$K$4:$K$503,"&lt;&gt;"&amp;K123)&gt;0,COUNTIFS($A$4:$A$503,A123,$L$4:$L$503,"&lt;&gt;"&amp;L123)&gt;0),"跨校题目配置不一致","通过")))))))</x:f>
      </x:c>
    </x:row>
    <x:row r="124" ht="22" customHeight="1">
      <x:c r="A124" s="70"/>
      <x:c r="B124" s="70"/>
      <x:c r="C124" s="28"/>
      <x:c r="D124" s="28"/>
      <x:c r="E124" s="70"/>
      <x:c r="F124" s="71" t="str">
        <x:f>IFERROR(INDEX('学校信息'!$F$4:$F$53,MATCH(E124,'学校信息'!$A$4:$A$53,0)),"")</x:f>
      </x:c>
      <x:c r="G124" s="71" t="str">
        <x:f>IFERROR(INDEX('学校信息'!$G$4:$G$53,MATCH(E124,'学校信息'!$A$4:$A$53,0)),"")</x:f>
      </x:c>
      <x:c r="H124" s="70"/>
      <x:c r="I124" s="70"/>
      <x:c r="J124" s="70"/>
      <x:c r="K124" s="28"/>
      <x:c r="L124" s="28"/>
      <x:c r="M124" s="60" t="str">
        <x:f>IF(COUNTA(A124:E124)+COUNTA(H124:L124)=0,"",IF(OR(A124="",B124="",C124="",D124="",E124="",H124="",I124="",J124="",K124="",L124=""),"缺少必填项",IF(OR(LEN(I124)&lt;&gt;64,LEN(J124)&lt;&gt;64),"SHA376长度应为64",IF(COUNTIF('学校信息'!$A$4:$A$53,E124)=0,"学校ID不存在",IF(COUNTIFS($E$4:$E$503,E124,$A$4:$A$503,A124)&gt;1,"同校全局题目ID重复",IF(COUNTIFS($E$4:$E$503,E124,$H$4:$H$503,H124)&gt;1,"同校本地PID重复",IF(OR(COUNTIFS($A$4:$A$503,A124,$B$4:$B$503,"&lt;&gt;"&amp;B124)&gt;0,COUNTIFS($A$4:$A$503,A124,$C$4:$C$503,"&lt;&gt;"&amp;C124)&gt;0,COUNTIFS($A$4:$A$503,A124,$D$4:$D$503,"&lt;&gt;"&amp;D124)&gt;0,COUNTIFS($A$4:$A$503,A124,$I$4:$I$503,"&lt;&gt;"&amp;I124)&gt;0,COUNTIFS($A$4:$A$503,A124,$J$4:$J$503,"&lt;&gt;"&amp;J124)&gt;0,COUNTIFS($A$4:$A$503,A124,$K$4:$K$503,"&lt;&gt;"&amp;K124)&gt;0,COUNTIFS($A$4:$A$503,A124,$L$4:$L$503,"&lt;&gt;"&amp;L124)&gt;0),"跨校题目配置不一致","通过")))))))</x:f>
      </x:c>
    </x:row>
    <x:row r="125" ht="22" customHeight="1">
      <x:c r="A125" s="70"/>
      <x:c r="B125" s="70"/>
      <x:c r="C125" s="28"/>
      <x:c r="D125" s="28"/>
      <x:c r="E125" s="70"/>
      <x:c r="F125" s="71" t="str">
        <x:f>IFERROR(INDEX('学校信息'!$F$4:$F$53,MATCH(E125,'学校信息'!$A$4:$A$53,0)),"")</x:f>
      </x:c>
      <x:c r="G125" s="71" t="str">
        <x:f>IFERROR(INDEX('学校信息'!$G$4:$G$53,MATCH(E125,'学校信息'!$A$4:$A$53,0)),"")</x:f>
      </x:c>
      <x:c r="H125" s="70"/>
      <x:c r="I125" s="70"/>
      <x:c r="J125" s="70"/>
      <x:c r="K125" s="28"/>
      <x:c r="L125" s="28"/>
      <x:c r="M125" s="60" t="str">
        <x:f>IF(COUNTA(A125:E125)+COUNTA(H125:L125)=0,"",IF(OR(A125="",B125="",C125="",D125="",E125="",H125="",I125="",J125="",K125="",L125=""),"缺少必填项",IF(OR(LEN(I125)&lt;&gt;64,LEN(J125)&lt;&gt;64),"SHA377长度应为64",IF(COUNTIF('学校信息'!$A$4:$A$53,E125)=0,"学校ID不存在",IF(COUNTIFS($E$4:$E$503,E125,$A$4:$A$503,A125)&gt;1,"同校全局题目ID重复",IF(COUNTIFS($E$4:$E$503,E125,$H$4:$H$503,H125)&gt;1,"同校本地PID重复",IF(OR(COUNTIFS($A$4:$A$503,A125,$B$4:$B$503,"&lt;&gt;"&amp;B125)&gt;0,COUNTIFS($A$4:$A$503,A125,$C$4:$C$503,"&lt;&gt;"&amp;C125)&gt;0,COUNTIFS($A$4:$A$503,A125,$D$4:$D$503,"&lt;&gt;"&amp;D125)&gt;0,COUNTIFS($A$4:$A$503,A125,$I$4:$I$503,"&lt;&gt;"&amp;I125)&gt;0,COUNTIFS($A$4:$A$503,A125,$J$4:$J$503,"&lt;&gt;"&amp;J125)&gt;0,COUNTIFS($A$4:$A$503,A125,$K$4:$K$503,"&lt;&gt;"&amp;K125)&gt;0,COUNTIFS($A$4:$A$503,A125,$L$4:$L$503,"&lt;&gt;"&amp;L125)&gt;0),"跨校题目配置不一致","通过")))))))</x:f>
      </x:c>
    </x:row>
    <x:row r="126" ht="22" customHeight="1">
      <x:c r="A126" s="70"/>
      <x:c r="B126" s="70"/>
      <x:c r="C126" s="28"/>
      <x:c r="D126" s="28"/>
      <x:c r="E126" s="70"/>
      <x:c r="F126" s="71" t="str">
        <x:f>IFERROR(INDEX('学校信息'!$F$4:$F$53,MATCH(E126,'学校信息'!$A$4:$A$53,0)),"")</x:f>
      </x:c>
      <x:c r="G126" s="71" t="str">
        <x:f>IFERROR(INDEX('学校信息'!$G$4:$G$53,MATCH(E126,'学校信息'!$A$4:$A$53,0)),"")</x:f>
      </x:c>
      <x:c r="H126" s="70"/>
      <x:c r="I126" s="70"/>
      <x:c r="J126" s="70"/>
      <x:c r="K126" s="28"/>
      <x:c r="L126" s="28"/>
      <x:c r="M126" s="60" t="str">
        <x:f>IF(COUNTA(A126:E126)+COUNTA(H126:L126)=0,"",IF(OR(A126="",B126="",C126="",D126="",E126="",H126="",I126="",J126="",K126="",L126=""),"缺少必填项",IF(OR(LEN(I126)&lt;&gt;64,LEN(J126)&lt;&gt;64),"SHA378长度应为64",IF(COUNTIF('学校信息'!$A$4:$A$53,E126)=0,"学校ID不存在",IF(COUNTIFS($E$4:$E$503,E126,$A$4:$A$503,A126)&gt;1,"同校全局题目ID重复",IF(COUNTIFS($E$4:$E$503,E126,$H$4:$H$503,H126)&gt;1,"同校本地PID重复",IF(OR(COUNTIFS($A$4:$A$503,A126,$B$4:$B$503,"&lt;&gt;"&amp;B126)&gt;0,COUNTIFS($A$4:$A$503,A126,$C$4:$C$503,"&lt;&gt;"&amp;C126)&gt;0,COUNTIFS($A$4:$A$503,A126,$D$4:$D$503,"&lt;&gt;"&amp;D126)&gt;0,COUNTIFS($A$4:$A$503,A126,$I$4:$I$503,"&lt;&gt;"&amp;I126)&gt;0,COUNTIFS($A$4:$A$503,A126,$J$4:$J$503,"&lt;&gt;"&amp;J126)&gt;0,COUNTIFS($A$4:$A$503,A126,$K$4:$K$503,"&lt;&gt;"&amp;K126)&gt;0,COUNTIFS($A$4:$A$503,A126,$L$4:$L$503,"&lt;&gt;"&amp;L126)&gt;0),"跨校题目配置不一致","通过")))))))</x:f>
      </x:c>
    </x:row>
    <x:row r="127" ht="22" customHeight="1">
      <x:c r="A127" s="70"/>
      <x:c r="B127" s="70"/>
      <x:c r="C127" s="28"/>
      <x:c r="D127" s="28"/>
      <x:c r="E127" s="70"/>
      <x:c r="F127" s="71" t="str">
        <x:f>IFERROR(INDEX('学校信息'!$F$4:$F$53,MATCH(E127,'学校信息'!$A$4:$A$53,0)),"")</x:f>
      </x:c>
      <x:c r="G127" s="71" t="str">
        <x:f>IFERROR(INDEX('学校信息'!$G$4:$G$53,MATCH(E127,'学校信息'!$A$4:$A$53,0)),"")</x:f>
      </x:c>
      <x:c r="H127" s="70"/>
      <x:c r="I127" s="70"/>
      <x:c r="J127" s="70"/>
      <x:c r="K127" s="28"/>
      <x:c r="L127" s="28"/>
      <x:c r="M127" s="60" t="str">
        <x:f>IF(COUNTA(A127:E127)+COUNTA(H127:L127)=0,"",IF(OR(A127="",B127="",C127="",D127="",E127="",H127="",I127="",J127="",K127="",L127=""),"缺少必填项",IF(OR(LEN(I127)&lt;&gt;64,LEN(J127)&lt;&gt;64),"SHA379长度应为64",IF(COUNTIF('学校信息'!$A$4:$A$53,E127)=0,"学校ID不存在",IF(COUNTIFS($E$4:$E$503,E127,$A$4:$A$503,A127)&gt;1,"同校全局题目ID重复",IF(COUNTIFS($E$4:$E$503,E127,$H$4:$H$503,H127)&gt;1,"同校本地PID重复",IF(OR(COUNTIFS($A$4:$A$503,A127,$B$4:$B$503,"&lt;&gt;"&amp;B127)&gt;0,COUNTIFS($A$4:$A$503,A127,$C$4:$C$503,"&lt;&gt;"&amp;C127)&gt;0,COUNTIFS($A$4:$A$503,A127,$D$4:$D$503,"&lt;&gt;"&amp;D127)&gt;0,COUNTIFS($A$4:$A$503,A127,$I$4:$I$503,"&lt;&gt;"&amp;I127)&gt;0,COUNTIFS($A$4:$A$503,A127,$J$4:$J$503,"&lt;&gt;"&amp;J127)&gt;0,COUNTIFS($A$4:$A$503,A127,$K$4:$K$503,"&lt;&gt;"&amp;K127)&gt;0,COUNTIFS($A$4:$A$503,A127,$L$4:$L$503,"&lt;&gt;"&amp;L127)&gt;0),"跨校题目配置不一致","通过")))))))</x:f>
      </x:c>
    </x:row>
    <x:row r="128" ht="22" customHeight="1">
      <x:c r="A128" s="70"/>
      <x:c r="B128" s="70"/>
      <x:c r="C128" s="28"/>
      <x:c r="D128" s="28"/>
      <x:c r="E128" s="70"/>
      <x:c r="F128" s="71" t="str">
        <x:f>IFERROR(INDEX('学校信息'!$F$4:$F$53,MATCH(E128,'学校信息'!$A$4:$A$53,0)),"")</x:f>
      </x:c>
      <x:c r="G128" s="71" t="str">
        <x:f>IFERROR(INDEX('学校信息'!$G$4:$G$53,MATCH(E128,'学校信息'!$A$4:$A$53,0)),"")</x:f>
      </x:c>
      <x:c r="H128" s="70"/>
      <x:c r="I128" s="70"/>
      <x:c r="J128" s="70"/>
      <x:c r="K128" s="28"/>
      <x:c r="L128" s="28"/>
      <x:c r="M128" s="60" t="str">
        <x:f>IF(COUNTA(A128:E128)+COUNTA(H128:L128)=0,"",IF(OR(A128="",B128="",C128="",D128="",E128="",H128="",I128="",J128="",K128="",L128=""),"缺少必填项",IF(OR(LEN(I128)&lt;&gt;64,LEN(J128)&lt;&gt;64),"SHA380长度应为64",IF(COUNTIF('学校信息'!$A$4:$A$53,E128)=0,"学校ID不存在",IF(COUNTIFS($E$4:$E$503,E128,$A$4:$A$503,A128)&gt;1,"同校全局题目ID重复",IF(COUNTIFS($E$4:$E$503,E128,$H$4:$H$503,H128)&gt;1,"同校本地PID重复",IF(OR(COUNTIFS($A$4:$A$503,A128,$B$4:$B$503,"&lt;&gt;"&amp;B128)&gt;0,COUNTIFS($A$4:$A$503,A128,$C$4:$C$503,"&lt;&gt;"&amp;C128)&gt;0,COUNTIFS($A$4:$A$503,A128,$D$4:$D$503,"&lt;&gt;"&amp;D128)&gt;0,COUNTIFS($A$4:$A$503,A128,$I$4:$I$503,"&lt;&gt;"&amp;I128)&gt;0,COUNTIFS($A$4:$A$503,A128,$J$4:$J$503,"&lt;&gt;"&amp;J128)&gt;0,COUNTIFS($A$4:$A$503,A128,$K$4:$K$503,"&lt;&gt;"&amp;K128)&gt;0,COUNTIFS($A$4:$A$503,A128,$L$4:$L$503,"&lt;&gt;"&amp;L128)&gt;0),"跨校题目配置不一致","通过")))))))</x:f>
      </x:c>
    </x:row>
    <x:row r="129" ht="22" customHeight="1">
      <x:c r="A129" s="70"/>
      <x:c r="B129" s="70"/>
      <x:c r="C129" s="28"/>
      <x:c r="D129" s="28"/>
      <x:c r="E129" s="70"/>
      <x:c r="F129" s="71" t="str">
        <x:f>IFERROR(INDEX('学校信息'!$F$4:$F$53,MATCH(E129,'学校信息'!$A$4:$A$53,0)),"")</x:f>
      </x:c>
      <x:c r="G129" s="71" t="str">
        <x:f>IFERROR(INDEX('学校信息'!$G$4:$G$53,MATCH(E129,'学校信息'!$A$4:$A$53,0)),"")</x:f>
      </x:c>
      <x:c r="H129" s="70"/>
      <x:c r="I129" s="70"/>
      <x:c r="J129" s="70"/>
      <x:c r="K129" s="28"/>
      <x:c r="L129" s="28"/>
      <x:c r="M129" s="60" t="str">
        <x:f>IF(COUNTA(A129:E129)+COUNTA(H129:L129)=0,"",IF(OR(A129="",B129="",C129="",D129="",E129="",H129="",I129="",J129="",K129="",L129=""),"缺少必填项",IF(OR(LEN(I129)&lt;&gt;64,LEN(J129)&lt;&gt;64),"SHA381长度应为64",IF(COUNTIF('学校信息'!$A$4:$A$53,E129)=0,"学校ID不存在",IF(COUNTIFS($E$4:$E$503,E129,$A$4:$A$503,A129)&gt;1,"同校全局题目ID重复",IF(COUNTIFS($E$4:$E$503,E129,$H$4:$H$503,H129)&gt;1,"同校本地PID重复",IF(OR(COUNTIFS($A$4:$A$503,A129,$B$4:$B$503,"&lt;&gt;"&amp;B129)&gt;0,COUNTIFS($A$4:$A$503,A129,$C$4:$C$503,"&lt;&gt;"&amp;C129)&gt;0,COUNTIFS($A$4:$A$503,A129,$D$4:$D$503,"&lt;&gt;"&amp;D129)&gt;0,COUNTIFS($A$4:$A$503,A129,$I$4:$I$503,"&lt;&gt;"&amp;I129)&gt;0,COUNTIFS($A$4:$A$503,A129,$J$4:$J$503,"&lt;&gt;"&amp;J129)&gt;0,COUNTIFS($A$4:$A$503,A129,$K$4:$K$503,"&lt;&gt;"&amp;K129)&gt;0,COUNTIFS($A$4:$A$503,A129,$L$4:$L$503,"&lt;&gt;"&amp;L129)&gt;0),"跨校题目配置不一致","通过")))))))</x:f>
      </x:c>
    </x:row>
    <x:row r="130" ht="22" customHeight="1">
      <x:c r="A130" s="70"/>
      <x:c r="B130" s="70"/>
      <x:c r="C130" s="28"/>
      <x:c r="D130" s="28"/>
      <x:c r="E130" s="70"/>
      <x:c r="F130" s="71" t="str">
        <x:f>IFERROR(INDEX('学校信息'!$F$4:$F$53,MATCH(E130,'学校信息'!$A$4:$A$53,0)),"")</x:f>
      </x:c>
      <x:c r="G130" s="71" t="str">
        <x:f>IFERROR(INDEX('学校信息'!$G$4:$G$53,MATCH(E130,'学校信息'!$A$4:$A$53,0)),"")</x:f>
      </x:c>
      <x:c r="H130" s="70"/>
      <x:c r="I130" s="70"/>
      <x:c r="J130" s="70"/>
      <x:c r="K130" s="28"/>
      <x:c r="L130" s="28"/>
      <x:c r="M130" s="60" t="str">
        <x:f>IF(COUNTA(A130:E130)+COUNTA(H130:L130)=0,"",IF(OR(A130="",B130="",C130="",D130="",E130="",H130="",I130="",J130="",K130="",L130=""),"缺少必填项",IF(OR(LEN(I130)&lt;&gt;64,LEN(J130)&lt;&gt;64),"SHA382长度应为64",IF(COUNTIF('学校信息'!$A$4:$A$53,E130)=0,"学校ID不存在",IF(COUNTIFS($E$4:$E$503,E130,$A$4:$A$503,A130)&gt;1,"同校全局题目ID重复",IF(COUNTIFS($E$4:$E$503,E130,$H$4:$H$503,H130)&gt;1,"同校本地PID重复",IF(OR(COUNTIFS($A$4:$A$503,A130,$B$4:$B$503,"&lt;&gt;"&amp;B130)&gt;0,COUNTIFS($A$4:$A$503,A130,$C$4:$C$503,"&lt;&gt;"&amp;C130)&gt;0,COUNTIFS($A$4:$A$503,A130,$D$4:$D$503,"&lt;&gt;"&amp;D130)&gt;0,COUNTIFS($A$4:$A$503,A130,$I$4:$I$503,"&lt;&gt;"&amp;I130)&gt;0,COUNTIFS($A$4:$A$503,A130,$J$4:$J$503,"&lt;&gt;"&amp;J130)&gt;0,COUNTIFS($A$4:$A$503,A130,$K$4:$K$503,"&lt;&gt;"&amp;K130)&gt;0,COUNTIFS($A$4:$A$503,A130,$L$4:$L$503,"&lt;&gt;"&amp;L130)&gt;0),"跨校题目配置不一致","通过")))))))</x:f>
      </x:c>
    </x:row>
    <x:row r="131" ht="22" customHeight="1">
      <x:c r="A131" s="70"/>
      <x:c r="B131" s="70"/>
      <x:c r="C131" s="28"/>
      <x:c r="D131" s="28"/>
      <x:c r="E131" s="70"/>
      <x:c r="F131" s="71" t="str">
        <x:f>IFERROR(INDEX('学校信息'!$F$4:$F$53,MATCH(E131,'学校信息'!$A$4:$A$53,0)),"")</x:f>
      </x:c>
      <x:c r="G131" s="71" t="str">
        <x:f>IFERROR(INDEX('学校信息'!$G$4:$G$53,MATCH(E131,'学校信息'!$A$4:$A$53,0)),"")</x:f>
      </x:c>
      <x:c r="H131" s="70"/>
      <x:c r="I131" s="70"/>
      <x:c r="J131" s="70"/>
      <x:c r="K131" s="28"/>
      <x:c r="L131" s="28"/>
      <x:c r="M131" s="60" t="str">
        <x:f>IF(COUNTA(A131:E131)+COUNTA(H131:L131)=0,"",IF(OR(A131="",B131="",C131="",D131="",E131="",H131="",I131="",J131="",K131="",L131=""),"缺少必填项",IF(OR(LEN(I131)&lt;&gt;64,LEN(J131)&lt;&gt;64),"SHA383长度应为64",IF(COUNTIF('学校信息'!$A$4:$A$53,E131)=0,"学校ID不存在",IF(COUNTIFS($E$4:$E$503,E131,$A$4:$A$503,A131)&gt;1,"同校全局题目ID重复",IF(COUNTIFS($E$4:$E$503,E131,$H$4:$H$503,H131)&gt;1,"同校本地PID重复",IF(OR(COUNTIFS($A$4:$A$503,A131,$B$4:$B$503,"&lt;&gt;"&amp;B131)&gt;0,COUNTIFS($A$4:$A$503,A131,$C$4:$C$503,"&lt;&gt;"&amp;C131)&gt;0,COUNTIFS($A$4:$A$503,A131,$D$4:$D$503,"&lt;&gt;"&amp;D131)&gt;0,COUNTIFS($A$4:$A$503,A131,$I$4:$I$503,"&lt;&gt;"&amp;I131)&gt;0,COUNTIFS($A$4:$A$503,A131,$J$4:$J$503,"&lt;&gt;"&amp;J131)&gt;0,COUNTIFS($A$4:$A$503,A131,$K$4:$K$503,"&lt;&gt;"&amp;K131)&gt;0,COUNTIFS($A$4:$A$503,A131,$L$4:$L$503,"&lt;&gt;"&amp;L131)&gt;0),"跨校题目配置不一致","通过")))))))</x:f>
      </x:c>
    </x:row>
    <x:row r="132" ht="22" customHeight="1">
      <x:c r="A132" s="70"/>
      <x:c r="B132" s="70"/>
      <x:c r="C132" s="28"/>
      <x:c r="D132" s="28"/>
      <x:c r="E132" s="70"/>
      <x:c r="F132" s="71" t="str">
        <x:f>IFERROR(INDEX('学校信息'!$F$4:$F$53,MATCH(E132,'学校信息'!$A$4:$A$53,0)),"")</x:f>
      </x:c>
      <x:c r="G132" s="71" t="str">
        <x:f>IFERROR(INDEX('学校信息'!$G$4:$G$53,MATCH(E132,'学校信息'!$A$4:$A$53,0)),"")</x:f>
      </x:c>
      <x:c r="H132" s="70"/>
      <x:c r="I132" s="70"/>
      <x:c r="J132" s="70"/>
      <x:c r="K132" s="28"/>
      <x:c r="L132" s="28"/>
      <x:c r="M132" s="60" t="str">
        <x:f>IF(COUNTA(A132:E132)+COUNTA(H132:L132)=0,"",IF(OR(A132="",B132="",C132="",D132="",E132="",H132="",I132="",J132="",K132="",L132=""),"缺少必填项",IF(OR(LEN(I132)&lt;&gt;64,LEN(J132)&lt;&gt;64),"SHA384长度应为64",IF(COUNTIF('学校信息'!$A$4:$A$53,E132)=0,"学校ID不存在",IF(COUNTIFS($E$4:$E$503,E132,$A$4:$A$503,A132)&gt;1,"同校全局题目ID重复",IF(COUNTIFS($E$4:$E$503,E132,$H$4:$H$503,H132)&gt;1,"同校本地PID重复",IF(OR(COUNTIFS($A$4:$A$503,A132,$B$4:$B$503,"&lt;&gt;"&amp;B132)&gt;0,COUNTIFS($A$4:$A$503,A132,$C$4:$C$503,"&lt;&gt;"&amp;C132)&gt;0,COUNTIFS($A$4:$A$503,A132,$D$4:$D$503,"&lt;&gt;"&amp;D132)&gt;0,COUNTIFS($A$4:$A$503,A132,$I$4:$I$503,"&lt;&gt;"&amp;I132)&gt;0,COUNTIFS($A$4:$A$503,A132,$J$4:$J$503,"&lt;&gt;"&amp;J132)&gt;0,COUNTIFS($A$4:$A$503,A132,$K$4:$K$503,"&lt;&gt;"&amp;K132)&gt;0,COUNTIFS($A$4:$A$503,A132,$L$4:$L$503,"&lt;&gt;"&amp;L132)&gt;0),"跨校题目配置不一致","通过")))))))</x:f>
      </x:c>
    </x:row>
    <x:row r="133" ht="22" customHeight="1">
      <x:c r="A133" s="70"/>
      <x:c r="B133" s="70"/>
      <x:c r="C133" s="28"/>
      <x:c r="D133" s="28"/>
      <x:c r="E133" s="70"/>
      <x:c r="F133" s="71" t="str">
        <x:f>IFERROR(INDEX('学校信息'!$F$4:$F$53,MATCH(E133,'学校信息'!$A$4:$A$53,0)),"")</x:f>
      </x:c>
      <x:c r="G133" s="71" t="str">
        <x:f>IFERROR(INDEX('学校信息'!$G$4:$G$53,MATCH(E133,'学校信息'!$A$4:$A$53,0)),"")</x:f>
      </x:c>
      <x:c r="H133" s="70"/>
      <x:c r="I133" s="70"/>
      <x:c r="J133" s="70"/>
      <x:c r="K133" s="28"/>
      <x:c r="L133" s="28"/>
      <x:c r="M133" s="60" t="str">
        <x:f>IF(COUNTA(A133:E133)+COUNTA(H133:L133)=0,"",IF(OR(A133="",B133="",C133="",D133="",E133="",H133="",I133="",J133="",K133="",L133=""),"缺少必填项",IF(OR(LEN(I133)&lt;&gt;64,LEN(J133)&lt;&gt;64),"SHA385长度应为64",IF(COUNTIF('学校信息'!$A$4:$A$53,E133)=0,"学校ID不存在",IF(COUNTIFS($E$4:$E$503,E133,$A$4:$A$503,A133)&gt;1,"同校全局题目ID重复",IF(COUNTIFS($E$4:$E$503,E133,$H$4:$H$503,H133)&gt;1,"同校本地PID重复",IF(OR(COUNTIFS($A$4:$A$503,A133,$B$4:$B$503,"&lt;&gt;"&amp;B133)&gt;0,COUNTIFS($A$4:$A$503,A133,$C$4:$C$503,"&lt;&gt;"&amp;C133)&gt;0,COUNTIFS($A$4:$A$503,A133,$D$4:$D$503,"&lt;&gt;"&amp;D133)&gt;0,COUNTIFS($A$4:$A$503,A133,$I$4:$I$503,"&lt;&gt;"&amp;I133)&gt;0,COUNTIFS($A$4:$A$503,A133,$J$4:$J$503,"&lt;&gt;"&amp;J133)&gt;0,COUNTIFS($A$4:$A$503,A133,$K$4:$K$503,"&lt;&gt;"&amp;K133)&gt;0,COUNTIFS($A$4:$A$503,A133,$L$4:$L$503,"&lt;&gt;"&amp;L133)&gt;0),"跨校题目配置不一致","通过")))))))</x:f>
      </x:c>
    </x:row>
    <x:row r="134" ht="22" customHeight="1">
      <x:c r="A134" s="70"/>
      <x:c r="B134" s="70"/>
      <x:c r="C134" s="28"/>
      <x:c r="D134" s="28"/>
      <x:c r="E134" s="70"/>
      <x:c r="F134" s="71" t="str">
        <x:f>IFERROR(INDEX('学校信息'!$F$4:$F$53,MATCH(E134,'学校信息'!$A$4:$A$53,0)),"")</x:f>
      </x:c>
      <x:c r="G134" s="71" t="str">
        <x:f>IFERROR(INDEX('学校信息'!$G$4:$G$53,MATCH(E134,'学校信息'!$A$4:$A$53,0)),"")</x:f>
      </x:c>
      <x:c r="H134" s="70"/>
      <x:c r="I134" s="70"/>
      <x:c r="J134" s="70"/>
      <x:c r="K134" s="28"/>
      <x:c r="L134" s="28"/>
      <x:c r="M134" s="60" t="str">
        <x:f>IF(COUNTA(A134:E134)+COUNTA(H134:L134)=0,"",IF(OR(A134="",B134="",C134="",D134="",E134="",H134="",I134="",J134="",K134="",L134=""),"缺少必填项",IF(OR(LEN(I134)&lt;&gt;64,LEN(J134)&lt;&gt;64),"SHA386长度应为64",IF(COUNTIF('学校信息'!$A$4:$A$53,E134)=0,"学校ID不存在",IF(COUNTIFS($E$4:$E$503,E134,$A$4:$A$503,A134)&gt;1,"同校全局题目ID重复",IF(COUNTIFS($E$4:$E$503,E134,$H$4:$H$503,H134)&gt;1,"同校本地PID重复",IF(OR(COUNTIFS($A$4:$A$503,A134,$B$4:$B$503,"&lt;&gt;"&amp;B134)&gt;0,COUNTIFS($A$4:$A$503,A134,$C$4:$C$503,"&lt;&gt;"&amp;C134)&gt;0,COUNTIFS($A$4:$A$503,A134,$D$4:$D$503,"&lt;&gt;"&amp;D134)&gt;0,COUNTIFS($A$4:$A$503,A134,$I$4:$I$503,"&lt;&gt;"&amp;I134)&gt;0,COUNTIFS($A$4:$A$503,A134,$J$4:$J$503,"&lt;&gt;"&amp;J134)&gt;0,COUNTIFS($A$4:$A$503,A134,$K$4:$K$503,"&lt;&gt;"&amp;K134)&gt;0,COUNTIFS($A$4:$A$503,A134,$L$4:$L$503,"&lt;&gt;"&amp;L134)&gt;0),"跨校题目配置不一致","通过")))))))</x:f>
      </x:c>
    </x:row>
    <x:row r="135" ht="22" customHeight="1">
      <x:c r="A135" s="70"/>
      <x:c r="B135" s="70"/>
      <x:c r="C135" s="28"/>
      <x:c r="D135" s="28"/>
      <x:c r="E135" s="70"/>
      <x:c r="F135" s="71" t="str">
        <x:f>IFERROR(INDEX('学校信息'!$F$4:$F$53,MATCH(E135,'学校信息'!$A$4:$A$53,0)),"")</x:f>
      </x:c>
      <x:c r="G135" s="71" t="str">
        <x:f>IFERROR(INDEX('学校信息'!$G$4:$G$53,MATCH(E135,'学校信息'!$A$4:$A$53,0)),"")</x:f>
      </x:c>
      <x:c r="H135" s="70"/>
      <x:c r="I135" s="70"/>
      <x:c r="J135" s="70"/>
      <x:c r="K135" s="28"/>
      <x:c r="L135" s="28"/>
      <x:c r="M135" s="60" t="str">
        <x:f>IF(COUNTA(A135:E135)+COUNTA(H135:L135)=0,"",IF(OR(A135="",B135="",C135="",D135="",E135="",H135="",I135="",J135="",K135="",L135=""),"缺少必填项",IF(OR(LEN(I135)&lt;&gt;64,LEN(J135)&lt;&gt;64),"SHA387长度应为64",IF(COUNTIF('学校信息'!$A$4:$A$53,E135)=0,"学校ID不存在",IF(COUNTIFS($E$4:$E$503,E135,$A$4:$A$503,A135)&gt;1,"同校全局题目ID重复",IF(COUNTIFS($E$4:$E$503,E135,$H$4:$H$503,H135)&gt;1,"同校本地PID重复",IF(OR(COUNTIFS($A$4:$A$503,A135,$B$4:$B$503,"&lt;&gt;"&amp;B135)&gt;0,COUNTIFS($A$4:$A$503,A135,$C$4:$C$503,"&lt;&gt;"&amp;C135)&gt;0,COUNTIFS($A$4:$A$503,A135,$D$4:$D$503,"&lt;&gt;"&amp;D135)&gt;0,COUNTIFS($A$4:$A$503,A135,$I$4:$I$503,"&lt;&gt;"&amp;I135)&gt;0,COUNTIFS($A$4:$A$503,A135,$J$4:$J$503,"&lt;&gt;"&amp;J135)&gt;0,COUNTIFS($A$4:$A$503,A135,$K$4:$K$503,"&lt;&gt;"&amp;K135)&gt;0,COUNTIFS($A$4:$A$503,A135,$L$4:$L$503,"&lt;&gt;"&amp;L135)&gt;0),"跨校题目配置不一致","通过")))))))</x:f>
      </x:c>
    </x:row>
    <x:row r="136" ht="22" customHeight="1">
      <x:c r="A136" s="70"/>
      <x:c r="B136" s="70"/>
      <x:c r="C136" s="28"/>
      <x:c r="D136" s="28"/>
      <x:c r="E136" s="70"/>
      <x:c r="F136" s="71" t="str">
        <x:f>IFERROR(INDEX('学校信息'!$F$4:$F$53,MATCH(E136,'学校信息'!$A$4:$A$53,0)),"")</x:f>
      </x:c>
      <x:c r="G136" s="71" t="str">
        <x:f>IFERROR(INDEX('学校信息'!$G$4:$G$53,MATCH(E136,'学校信息'!$A$4:$A$53,0)),"")</x:f>
      </x:c>
      <x:c r="H136" s="70"/>
      <x:c r="I136" s="70"/>
      <x:c r="J136" s="70"/>
      <x:c r="K136" s="28"/>
      <x:c r="L136" s="28"/>
      <x:c r="M136" s="60" t="str">
        <x:f>IF(COUNTA(A136:E136)+COUNTA(H136:L136)=0,"",IF(OR(A136="",B136="",C136="",D136="",E136="",H136="",I136="",J136="",K136="",L136=""),"缺少必填项",IF(OR(LEN(I136)&lt;&gt;64,LEN(J136)&lt;&gt;64),"SHA388长度应为64",IF(COUNTIF('学校信息'!$A$4:$A$53,E136)=0,"学校ID不存在",IF(COUNTIFS($E$4:$E$503,E136,$A$4:$A$503,A136)&gt;1,"同校全局题目ID重复",IF(COUNTIFS($E$4:$E$503,E136,$H$4:$H$503,H136)&gt;1,"同校本地PID重复",IF(OR(COUNTIFS($A$4:$A$503,A136,$B$4:$B$503,"&lt;&gt;"&amp;B136)&gt;0,COUNTIFS($A$4:$A$503,A136,$C$4:$C$503,"&lt;&gt;"&amp;C136)&gt;0,COUNTIFS($A$4:$A$503,A136,$D$4:$D$503,"&lt;&gt;"&amp;D136)&gt;0,COUNTIFS($A$4:$A$503,A136,$I$4:$I$503,"&lt;&gt;"&amp;I136)&gt;0,COUNTIFS($A$4:$A$503,A136,$J$4:$J$503,"&lt;&gt;"&amp;J136)&gt;0,COUNTIFS($A$4:$A$503,A136,$K$4:$K$503,"&lt;&gt;"&amp;K136)&gt;0,COUNTIFS($A$4:$A$503,A136,$L$4:$L$503,"&lt;&gt;"&amp;L136)&gt;0),"跨校题目配置不一致","通过")))))))</x:f>
      </x:c>
    </x:row>
    <x:row r="137" ht="22" customHeight="1">
      <x:c r="A137" s="70"/>
      <x:c r="B137" s="70"/>
      <x:c r="C137" s="28"/>
      <x:c r="D137" s="28"/>
      <x:c r="E137" s="70"/>
      <x:c r="F137" s="71" t="str">
        <x:f>IFERROR(INDEX('学校信息'!$F$4:$F$53,MATCH(E137,'学校信息'!$A$4:$A$53,0)),"")</x:f>
      </x:c>
      <x:c r="G137" s="71" t="str">
        <x:f>IFERROR(INDEX('学校信息'!$G$4:$G$53,MATCH(E137,'学校信息'!$A$4:$A$53,0)),"")</x:f>
      </x:c>
      <x:c r="H137" s="70"/>
      <x:c r="I137" s="70"/>
      <x:c r="J137" s="70"/>
      <x:c r="K137" s="28"/>
      <x:c r="L137" s="28"/>
      <x:c r="M137" s="60" t="str">
        <x:f>IF(COUNTA(A137:E137)+COUNTA(H137:L137)=0,"",IF(OR(A137="",B137="",C137="",D137="",E137="",H137="",I137="",J137="",K137="",L137=""),"缺少必填项",IF(OR(LEN(I137)&lt;&gt;64,LEN(J137)&lt;&gt;64),"SHA389长度应为64",IF(COUNTIF('学校信息'!$A$4:$A$53,E137)=0,"学校ID不存在",IF(COUNTIFS($E$4:$E$503,E137,$A$4:$A$503,A137)&gt;1,"同校全局题目ID重复",IF(COUNTIFS($E$4:$E$503,E137,$H$4:$H$503,H137)&gt;1,"同校本地PID重复",IF(OR(COUNTIFS($A$4:$A$503,A137,$B$4:$B$503,"&lt;&gt;"&amp;B137)&gt;0,COUNTIFS($A$4:$A$503,A137,$C$4:$C$503,"&lt;&gt;"&amp;C137)&gt;0,COUNTIFS($A$4:$A$503,A137,$D$4:$D$503,"&lt;&gt;"&amp;D137)&gt;0,COUNTIFS($A$4:$A$503,A137,$I$4:$I$503,"&lt;&gt;"&amp;I137)&gt;0,COUNTIFS($A$4:$A$503,A137,$J$4:$J$503,"&lt;&gt;"&amp;J137)&gt;0,COUNTIFS($A$4:$A$503,A137,$K$4:$K$503,"&lt;&gt;"&amp;K137)&gt;0,COUNTIFS($A$4:$A$503,A137,$L$4:$L$503,"&lt;&gt;"&amp;L137)&gt;0),"跨校题目配置不一致","通过")))))))</x:f>
      </x:c>
    </x:row>
    <x:row r="138" ht="22" customHeight="1">
      <x:c r="A138" s="70"/>
      <x:c r="B138" s="70"/>
      <x:c r="C138" s="28"/>
      <x:c r="D138" s="28"/>
      <x:c r="E138" s="70"/>
      <x:c r="F138" s="71" t="str">
        <x:f>IFERROR(INDEX('学校信息'!$F$4:$F$53,MATCH(E138,'学校信息'!$A$4:$A$53,0)),"")</x:f>
      </x:c>
      <x:c r="G138" s="71" t="str">
        <x:f>IFERROR(INDEX('学校信息'!$G$4:$G$53,MATCH(E138,'学校信息'!$A$4:$A$53,0)),"")</x:f>
      </x:c>
      <x:c r="H138" s="70"/>
      <x:c r="I138" s="70"/>
      <x:c r="J138" s="70"/>
      <x:c r="K138" s="28"/>
      <x:c r="L138" s="28"/>
      <x:c r="M138" s="60" t="str">
        <x:f>IF(COUNTA(A138:E138)+COUNTA(H138:L138)=0,"",IF(OR(A138="",B138="",C138="",D138="",E138="",H138="",I138="",J138="",K138="",L138=""),"缺少必填项",IF(OR(LEN(I138)&lt;&gt;64,LEN(J138)&lt;&gt;64),"SHA390长度应为64",IF(COUNTIF('学校信息'!$A$4:$A$53,E138)=0,"学校ID不存在",IF(COUNTIFS($E$4:$E$503,E138,$A$4:$A$503,A138)&gt;1,"同校全局题目ID重复",IF(COUNTIFS($E$4:$E$503,E138,$H$4:$H$503,H138)&gt;1,"同校本地PID重复",IF(OR(COUNTIFS($A$4:$A$503,A138,$B$4:$B$503,"&lt;&gt;"&amp;B138)&gt;0,COUNTIFS($A$4:$A$503,A138,$C$4:$C$503,"&lt;&gt;"&amp;C138)&gt;0,COUNTIFS($A$4:$A$503,A138,$D$4:$D$503,"&lt;&gt;"&amp;D138)&gt;0,COUNTIFS($A$4:$A$503,A138,$I$4:$I$503,"&lt;&gt;"&amp;I138)&gt;0,COUNTIFS($A$4:$A$503,A138,$J$4:$J$503,"&lt;&gt;"&amp;J138)&gt;0,COUNTIFS($A$4:$A$503,A138,$K$4:$K$503,"&lt;&gt;"&amp;K138)&gt;0,COUNTIFS($A$4:$A$503,A138,$L$4:$L$503,"&lt;&gt;"&amp;L138)&gt;0),"跨校题目配置不一致","通过")))))))</x:f>
      </x:c>
    </x:row>
    <x:row r="139" ht="22" customHeight="1">
      <x:c r="A139" s="70"/>
      <x:c r="B139" s="70"/>
      <x:c r="C139" s="28"/>
      <x:c r="D139" s="28"/>
      <x:c r="E139" s="70"/>
      <x:c r="F139" s="71" t="str">
        <x:f>IFERROR(INDEX('学校信息'!$F$4:$F$53,MATCH(E139,'学校信息'!$A$4:$A$53,0)),"")</x:f>
      </x:c>
      <x:c r="G139" s="71" t="str">
        <x:f>IFERROR(INDEX('学校信息'!$G$4:$G$53,MATCH(E139,'学校信息'!$A$4:$A$53,0)),"")</x:f>
      </x:c>
      <x:c r="H139" s="70"/>
      <x:c r="I139" s="70"/>
      <x:c r="J139" s="70"/>
      <x:c r="K139" s="28"/>
      <x:c r="L139" s="28"/>
      <x:c r="M139" s="60" t="str">
        <x:f>IF(COUNTA(A139:E139)+COUNTA(H139:L139)=0,"",IF(OR(A139="",B139="",C139="",D139="",E139="",H139="",I139="",J139="",K139="",L139=""),"缺少必填项",IF(OR(LEN(I139)&lt;&gt;64,LEN(J139)&lt;&gt;64),"SHA391长度应为64",IF(COUNTIF('学校信息'!$A$4:$A$53,E139)=0,"学校ID不存在",IF(COUNTIFS($E$4:$E$503,E139,$A$4:$A$503,A139)&gt;1,"同校全局题目ID重复",IF(COUNTIFS($E$4:$E$503,E139,$H$4:$H$503,H139)&gt;1,"同校本地PID重复",IF(OR(COUNTIFS($A$4:$A$503,A139,$B$4:$B$503,"&lt;&gt;"&amp;B139)&gt;0,COUNTIFS($A$4:$A$503,A139,$C$4:$C$503,"&lt;&gt;"&amp;C139)&gt;0,COUNTIFS($A$4:$A$503,A139,$D$4:$D$503,"&lt;&gt;"&amp;D139)&gt;0,COUNTIFS($A$4:$A$503,A139,$I$4:$I$503,"&lt;&gt;"&amp;I139)&gt;0,COUNTIFS($A$4:$A$503,A139,$J$4:$J$503,"&lt;&gt;"&amp;J139)&gt;0,COUNTIFS($A$4:$A$503,A139,$K$4:$K$503,"&lt;&gt;"&amp;K139)&gt;0,COUNTIFS($A$4:$A$503,A139,$L$4:$L$503,"&lt;&gt;"&amp;L139)&gt;0),"跨校题目配置不一致","通过")))))))</x:f>
      </x:c>
    </x:row>
    <x:row r="140" ht="22" customHeight="1">
      <x:c r="A140" s="70"/>
      <x:c r="B140" s="70"/>
      <x:c r="C140" s="28"/>
      <x:c r="D140" s="28"/>
      <x:c r="E140" s="70"/>
      <x:c r="F140" s="71" t="str">
        <x:f>IFERROR(INDEX('学校信息'!$F$4:$F$53,MATCH(E140,'学校信息'!$A$4:$A$53,0)),"")</x:f>
      </x:c>
      <x:c r="G140" s="71" t="str">
        <x:f>IFERROR(INDEX('学校信息'!$G$4:$G$53,MATCH(E140,'学校信息'!$A$4:$A$53,0)),"")</x:f>
      </x:c>
      <x:c r="H140" s="70"/>
      <x:c r="I140" s="70"/>
      <x:c r="J140" s="70"/>
      <x:c r="K140" s="28"/>
      <x:c r="L140" s="28"/>
      <x:c r="M140" s="60" t="str">
        <x:f>IF(COUNTA(A140:E140)+COUNTA(H140:L140)=0,"",IF(OR(A140="",B140="",C140="",D140="",E140="",H140="",I140="",J140="",K140="",L140=""),"缺少必填项",IF(OR(LEN(I140)&lt;&gt;64,LEN(J140)&lt;&gt;64),"SHA392长度应为64",IF(COUNTIF('学校信息'!$A$4:$A$53,E140)=0,"学校ID不存在",IF(COUNTIFS($E$4:$E$503,E140,$A$4:$A$503,A140)&gt;1,"同校全局题目ID重复",IF(COUNTIFS($E$4:$E$503,E140,$H$4:$H$503,H140)&gt;1,"同校本地PID重复",IF(OR(COUNTIFS($A$4:$A$503,A140,$B$4:$B$503,"&lt;&gt;"&amp;B140)&gt;0,COUNTIFS($A$4:$A$503,A140,$C$4:$C$503,"&lt;&gt;"&amp;C140)&gt;0,COUNTIFS($A$4:$A$503,A140,$D$4:$D$503,"&lt;&gt;"&amp;D140)&gt;0,COUNTIFS($A$4:$A$503,A140,$I$4:$I$503,"&lt;&gt;"&amp;I140)&gt;0,COUNTIFS($A$4:$A$503,A140,$J$4:$J$503,"&lt;&gt;"&amp;J140)&gt;0,COUNTIFS($A$4:$A$503,A140,$K$4:$K$503,"&lt;&gt;"&amp;K140)&gt;0,COUNTIFS($A$4:$A$503,A140,$L$4:$L$503,"&lt;&gt;"&amp;L140)&gt;0),"跨校题目配置不一致","通过")))))))</x:f>
      </x:c>
    </x:row>
    <x:row r="141" ht="22" customHeight="1">
      <x:c r="A141" s="70"/>
      <x:c r="B141" s="70"/>
      <x:c r="C141" s="28"/>
      <x:c r="D141" s="28"/>
      <x:c r="E141" s="70"/>
      <x:c r="F141" s="71" t="str">
        <x:f>IFERROR(INDEX('学校信息'!$F$4:$F$53,MATCH(E141,'学校信息'!$A$4:$A$53,0)),"")</x:f>
      </x:c>
      <x:c r="G141" s="71" t="str">
        <x:f>IFERROR(INDEX('学校信息'!$G$4:$G$53,MATCH(E141,'学校信息'!$A$4:$A$53,0)),"")</x:f>
      </x:c>
      <x:c r="H141" s="70"/>
      <x:c r="I141" s="70"/>
      <x:c r="J141" s="70"/>
      <x:c r="K141" s="28"/>
      <x:c r="L141" s="28"/>
      <x:c r="M141" s="60" t="str">
        <x:f>IF(COUNTA(A141:E141)+COUNTA(H141:L141)=0,"",IF(OR(A141="",B141="",C141="",D141="",E141="",H141="",I141="",J141="",K141="",L141=""),"缺少必填项",IF(OR(LEN(I141)&lt;&gt;64,LEN(J141)&lt;&gt;64),"SHA393长度应为64",IF(COUNTIF('学校信息'!$A$4:$A$53,E141)=0,"学校ID不存在",IF(COUNTIFS($E$4:$E$503,E141,$A$4:$A$503,A141)&gt;1,"同校全局题目ID重复",IF(COUNTIFS($E$4:$E$503,E141,$H$4:$H$503,H141)&gt;1,"同校本地PID重复",IF(OR(COUNTIFS($A$4:$A$503,A141,$B$4:$B$503,"&lt;&gt;"&amp;B141)&gt;0,COUNTIFS($A$4:$A$503,A141,$C$4:$C$503,"&lt;&gt;"&amp;C141)&gt;0,COUNTIFS($A$4:$A$503,A141,$D$4:$D$503,"&lt;&gt;"&amp;D141)&gt;0,COUNTIFS($A$4:$A$503,A141,$I$4:$I$503,"&lt;&gt;"&amp;I141)&gt;0,COUNTIFS($A$4:$A$503,A141,$J$4:$J$503,"&lt;&gt;"&amp;J141)&gt;0,COUNTIFS($A$4:$A$503,A141,$K$4:$K$503,"&lt;&gt;"&amp;K141)&gt;0,COUNTIFS($A$4:$A$503,A141,$L$4:$L$503,"&lt;&gt;"&amp;L141)&gt;0),"跨校题目配置不一致","通过")))))))</x:f>
      </x:c>
    </x:row>
    <x:row r="142" ht="22" customHeight="1">
      <x:c r="A142" s="70"/>
      <x:c r="B142" s="70"/>
      <x:c r="C142" s="28"/>
      <x:c r="D142" s="28"/>
      <x:c r="E142" s="70"/>
      <x:c r="F142" s="71" t="str">
        <x:f>IFERROR(INDEX('学校信息'!$F$4:$F$53,MATCH(E142,'学校信息'!$A$4:$A$53,0)),"")</x:f>
      </x:c>
      <x:c r="G142" s="71" t="str">
        <x:f>IFERROR(INDEX('学校信息'!$G$4:$G$53,MATCH(E142,'学校信息'!$A$4:$A$53,0)),"")</x:f>
      </x:c>
      <x:c r="H142" s="70"/>
      <x:c r="I142" s="70"/>
      <x:c r="J142" s="70"/>
      <x:c r="K142" s="28"/>
      <x:c r="L142" s="28"/>
      <x:c r="M142" s="60" t="str">
        <x:f>IF(COUNTA(A142:E142)+COUNTA(H142:L142)=0,"",IF(OR(A142="",B142="",C142="",D142="",E142="",H142="",I142="",J142="",K142="",L142=""),"缺少必填项",IF(OR(LEN(I142)&lt;&gt;64,LEN(J142)&lt;&gt;64),"SHA394长度应为64",IF(COUNTIF('学校信息'!$A$4:$A$53,E142)=0,"学校ID不存在",IF(COUNTIFS($E$4:$E$503,E142,$A$4:$A$503,A142)&gt;1,"同校全局题目ID重复",IF(COUNTIFS($E$4:$E$503,E142,$H$4:$H$503,H142)&gt;1,"同校本地PID重复",IF(OR(COUNTIFS($A$4:$A$503,A142,$B$4:$B$503,"&lt;&gt;"&amp;B142)&gt;0,COUNTIFS($A$4:$A$503,A142,$C$4:$C$503,"&lt;&gt;"&amp;C142)&gt;0,COUNTIFS($A$4:$A$503,A142,$D$4:$D$503,"&lt;&gt;"&amp;D142)&gt;0,COUNTIFS($A$4:$A$503,A142,$I$4:$I$503,"&lt;&gt;"&amp;I142)&gt;0,COUNTIFS($A$4:$A$503,A142,$J$4:$J$503,"&lt;&gt;"&amp;J142)&gt;0,COUNTIFS($A$4:$A$503,A142,$K$4:$K$503,"&lt;&gt;"&amp;K142)&gt;0,COUNTIFS($A$4:$A$503,A142,$L$4:$L$503,"&lt;&gt;"&amp;L142)&gt;0),"跨校题目配置不一致","通过")))))))</x:f>
      </x:c>
    </x:row>
    <x:row r="143" ht="22" customHeight="1">
      <x:c r="A143" s="70"/>
      <x:c r="B143" s="70"/>
      <x:c r="C143" s="28"/>
      <x:c r="D143" s="28"/>
      <x:c r="E143" s="70"/>
      <x:c r="F143" s="71" t="str">
        <x:f>IFERROR(INDEX('学校信息'!$F$4:$F$53,MATCH(E143,'学校信息'!$A$4:$A$53,0)),"")</x:f>
      </x:c>
      <x:c r="G143" s="71" t="str">
        <x:f>IFERROR(INDEX('学校信息'!$G$4:$G$53,MATCH(E143,'学校信息'!$A$4:$A$53,0)),"")</x:f>
      </x:c>
      <x:c r="H143" s="70"/>
      <x:c r="I143" s="70"/>
      <x:c r="J143" s="70"/>
      <x:c r="K143" s="28"/>
      <x:c r="L143" s="28"/>
      <x:c r="M143" s="60" t="str">
        <x:f>IF(COUNTA(A143:E143)+COUNTA(H143:L143)=0,"",IF(OR(A143="",B143="",C143="",D143="",E143="",H143="",I143="",J143="",K143="",L143=""),"缺少必填项",IF(OR(LEN(I143)&lt;&gt;64,LEN(J143)&lt;&gt;64),"SHA395长度应为64",IF(COUNTIF('学校信息'!$A$4:$A$53,E143)=0,"学校ID不存在",IF(COUNTIFS($E$4:$E$503,E143,$A$4:$A$503,A143)&gt;1,"同校全局题目ID重复",IF(COUNTIFS($E$4:$E$503,E143,$H$4:$H$503,H143)&gt;1,"同校本地PID重复",IF(OR(COUNTIFS($A$4:$A$503,A143,$B$4:$B$503,"&lt;&gt;"&amp;B143)&gt;0,COUNTIFS($A$4:$A$503,A143,$C$4:$C$503,"&lt;&gt;"&amp;C143)&gt;0,COUNTIFS($A$4:$A$503,A143,$D$4:$D$503,"&lt;&gt;"&amp;D143)&gt;0,COUNTIFS($A$4:$A$503,A143,$I$4:$I$503,"&lt;&gt;"&amp;I143)&gt;0,COUNTIFS($A$4:$A$503,A143,$J$4:$J$503,"&lt;&gt;"&amp;J143)&gt;0,COUNTIFS($A$4:$A$503,A143,$K$4:$K$503,"&lt;&gt;"&amp;K143)&gt;0,COUNTIFS($A$4:$A$503,A143,$L$4:$L$503,"&lt;&gt;"&amp;L143)&gt;0),"跨校题目配置不一致","通过")))))))</x:f>
      </x:c>
    </x:row>
    <x:row r="144" ht="22" customHeight="1">
      <x:c r="A144" s="70"/>
      <x:c r="B144" s="70"/>
      <x:c r="C144" s="28"/>
      <x:c r="D144" s="28"/>
      <x:c r="E144" s="70"/>
      <x:c r="F144" s="71" t="str">
        <x:f>IFERROR(INDEX('学校信息'!$F$4:$F$53,MATCH(E144,'学校信息'!$A$4:$A$53,0)),"")</x:f>
      </x:c>
      <x:c r="G144" s="71" t="str">
        <x:f>IFERROR(INDEX('学校信息'!$G$4:$G$53,MATCH(E144,'学校信息'!$A$4:$A$53,0)),"")</x:f>
      </x:c>
      <x:c r="H144" s="70"/>
      <x:c r="I144" s="70"/>
      <x:c r="J144" s="70"/>
      <x:c r="K144" s="28"/>
      <x:c r="L144" s="28"/>
      <x:c r="M144" s="60" t="str">
        <x:f>IF(COUNTA(A144:E144)+COUNTA(H144:L144)=0,"",IF(OR(A144="",B144="",C144="",D144="",E144="",H144="",I144="",J144="",K144="",L144=""),"缺少必填项",IF(OR(LEN(I144)&lt;&gt;64,LEN(J144)&lt;&gt;64),"SHA396长度应为64",IF(COUNTIF('学校信息'!$A$4:$A$53,E144)=0,"学校ID不存在",IF(COUNTIFS($E$4:$E$503,E144,$A$4:$A$503,A144)&gt;1,"同校全局题目ID重复",IF(COUNTIFS($E$4:$E$503,E144,$H$4:$H$503,H144)&gt;1,"同校本地PID重复",IF(OR(COUNTIFS($A$4:$A$503,A144,$B$4:$B$503,"&lt;&gt;"&amp;B144)&gt;0,COUNTIFS($A$4:$A$503,A144,$C$4:$C$503,"&lt;&gt;"&amp;C144)&gt;0,COUNTIFS($A$4:$A$503,A144,$D$4:$D$503,"&lt;&gt;"&amp;D144)&gt;0,COUNTIFS($A$4:$A$503,A144,$I$4:$I$503,"&lt;&gt;"&amp;I144)&gt;0,COUNTIFS($A$4:$A$503,A144,$J$4:$J$503,"&lt;&gt;"&amp;J144)&gt;0,COUNTIFS($A$4:$A$503,A144,$K$4:$K$503,"&lt;&gt;"&amp;K144)&gt;0,COUNTIFS($A$4:$A$503,A144,$L$4:$L$503,"&lt;&gt;"&amp;L144)&gt;0),"跨校题目配置不一致","通过")))))))</x:f>
      </x:c>
    </x:row>
    <x:row r="145" ht="22" customHeight="1">
      <x:c r="A145" s="70"/>
      <x:c r="B145" s="70"/>
      <x:c r="C145" s="28"/>
      <x:c r="D145" s="28"/>
      <x:c r="E145" s="70"/>
      <x:c r="F145" s="71" t="str">
        <x:f>IFERROR(INDEX('学校信息'!$F$4:$F$53,MATCH(E145,'学校信息'!$A$4:$A$53,0)),"")</x:f>
      </x:c>
      <x:c r="G145" s="71" t="str">
        <x:f>IFERROR(INDEX('学校信息'!$G$4:$G$53,MATCH(E145,'学校信息'!$A$4:$A$53,0)),"")</x:f>
      </x:c>
      <x:c r="H145" s="70"/>
      <x:c r="I145" s="70"/>
      <x:c r="J145" s="70"/>
      <x:c r="K145" s="28"/>
      <x:c r="L145" s="28"/>
      <x:c r="M145" s="60" t="str">
        <x:f>IF(COUNTA(A145:E145)+COUNTA(H145:L145)=0,"",IF(OR(A145="",B145="",C145="",D145="",E145="",H145="",I145="",J145="",K145="",L145=""),"缺少必填项",IF(OR(LEN(I145)&lt;&gt;64,LEN(J145)&lt;&gt;64),"SHA397长度应为64",IF(COUNTIF('学校信息'!$A$4:$A$53,E145)=0,"学校ID不存在",IF(COUNTIFS($E$4:$E$503,E145,$A$4:$A$503,A145)&gt;1,"同校全局题目ID重复",IF(COUNTIFS($E$4:$E$503,E145,$H$4:$H$503,H145)&gt;1,"同校本地PID重复",IF(OR(COUNTIFS($A$4:$A$503,A145,$B$4:$B$503,"&lt;&gt;"&amp;B145)&gt;0,COUNTIFS($A$4:$A$503,A145,$C$4:$C$503,"&lt;&gt;"&amp;C145)&gt;0,COUNTIFS($A$4:$A$503,A145,$D$4:$D$503,"&lt;&gt;"&amp;D145)&gt;0,COUNTIFS($A$4:$A$503,A145,$I$4:$I$503,"&lt;&gt;"&amp;I145)&gt;0,COUNTIFS($A$4:$A$503,A145,$J$4:$J$503,"&lt;&gt;"&amp;J145)&gt;0,COUNTIFS($A$4:$A$503,A145,$K$4:$K$503,"&lt;&gt;"&amp;K145)&gt;0,COUNTIFS($A$4:$A$503,A145,$L$4:$L$503,"&lt;&gt;"&amp;L145)&gt;0),"跨校题目配置不一致","通过")))))))</x:f>
      </x:c>
    </x:row>
    <x:row r="146" ht="22" customHeight="1">
      <x:c r="A146" s="70"/>
      <x:c r="B146" s="70"/>
      <x:c r="C146" s="28"/>
      <x:c r="D146" s="28"/>
      <x:c r="E146" s="70"/>
      <x:c r="F146" s="71" t="str">
        <x:f>IFERROR(INDEX('学校信息'!$F$4:$F$53,MATCH(E146,'学校信息'!$A$4:$A$53,0)),"")</x:f>
      </x:c>
      <x:c r="G146" s="71" t="str">
        <x:f>IFERROR(INDEX('学校信息'!$G$4:$G$53,MATCH(E146,'学校信息'!$A$4:$A$53,0)),"")</x:f>
      </x:c>
      <x:c r="H146" s="70"/>
      <x:c r="I146" s="70"/>
      <x:c r="J146" s="70"/>
      <x:c r="K146" s="28"/>
      <x:c r="L146" s="28"/>
      <x:c r="M146" s="60" t="str">
        <x:f>IF(COUNTA(A146:E146)+COUNTA(H146:L146)=0,"",IF(OR(A146="",B146="",C146="",D146="",E146="",H146="",I146="",J146="",K146="",L146=""),"缺少必填项",IF(OR(LEN(I146)&lt;&gt;64,LEN(J146)&lt;&gt;64),"SHA398长度应为64",IF(COUNTIF('学校信息'!$A$4:$A$53,E146)=0,"学校ID不存在",IF(COUNTIFS($E$4:$E$503,E146,$A$4:$A$503,A146)&gt;1,"同校全局题目ID重复",IF(COUNTIFS($E$4:$E$503,E146,$H$4:$H$503,H146)&gt;1,"同校本地PID重复",IF(OR(COUNTIFS($A$4:$A$503,A146,$B$4:$B$503,"&lt;&gt;"&amp;B146)&gt;0,COUNTIFS($A$4:$A$503,A146,$C$4:$C$503,"&lt;&gt;"&amp;C146)&gt;0,COUNTIFS($A$4:$A$503,A146,$D$4:$D$503,"&lt;&gt;"&amp;D146)&gt;0,COUNTIFS($A$4:$A$503,A146,$I$4:$I$503,"&lt;&gt;"&amp;I146)&gt;0,COUNTIFS($A$4:$A$503,A146,$J$4:$J$503,"&lt;&gt;"&amp;J146)&gt;0,COUNTIFS($A$4:$A$503,A146,$K$4:$K$503,"&lt;&gt;"&amp;K146)&gt;0,COUNTIFS($A$4:$A$503,A146,$L$4:$L$503,"&lt;&gt;"&amp;L146)&gt;0),"跨校题目配置不一致","通过")))))))</x:f>
      </x:c>
    </x:row>
    <x:row r="147" ht="22" customHeight="1">
      <x:c r="A147" s="70"/>
      <x:c r="B147" s="70"/>
      <x:c r="C147" s="28"/>
      <x:c r="D147" s="28"/>
      <x:c r="E147" s="70"/>
      <x:c r="F147" s="71" t="str">
        <x:f>IFERROR(INDEX('学校信息'!$F$4:$F$53,MATCH(E147,'学校信息'!$A$4:$A$53,0)),"")</x:f>
      </x:c>
      <x:c r="G147" s="71" t="str">
        <x:f>IFERROR(INDEX('学校信息'!$G$4:$G$53,MATCH(E147,'学校信息'!$A$4:$A$53,0)),"")</x:f>
      </x:c>
      <x:c r="H147" s="70"/>
      <x:c r="I147" s="70"/>
      <x:c r="J147" s="70"/>
      <x:c r="K147" s="28"/>
      <x:c r="L147" s="28"/>
      <x:c r="M147" s="60" t="str">
        <x:f>IF(COUNTA(A147:E147)+COUNTA(H147:L147)=0,"",IF(OR(A147="",B147="",C147="",D147="",E147="",H147="",I147="",J147="",K147="",L147=""),"缺少必填项",IF(OR(LEN(I147)&lt;&gt;64,LEN(J147)&lt;&gt;64),"SHA399长度应为64",IF(COUNTIF('学校信息'!$A$4:$A$53,E147)=0,"学校ID不存在",IF(COUNTIFS($E$4:$E$503,E147,$A$4:$A$503,A147)&gt;1,"同校全局题目ID重复",IF(COUNTIFS($E$4:$E$503,E147,$H$4:$H$503,H147)&gt;1,"同校本地PID重复",IF(OR(COUNTIFS($A$4:$A$503,A147,$B$4:$B$503,"&lt;&gt;"&amp;B147)&gt;0,COUNTIFS($A$4:$A$503,A147,$C$4:$C$503,"&lt;&gt;"&amp;C147)&gt;0,COUNTIFS($A$4:$A$503,A147,$D$4:$D$503,"&lt;&gt;"&amp;D147)&gt;0,COUNTIFS($A$4:$A$503,A147,$I$4:$I$503,"&lt;&gt;"&amp;I147)&gt;0,COUNTIFS($A$4:$A$503,A147,$J$4:$J$503,"&lt;&gt;"&amp;J147)&gt;0,COUNTIFS($A$4:$A$503,A147,$K$4:$K$503,"&lt;&gt;"&amp;K147)&gt;0,COUNTIFS($A$4:$A$503,A147,$L$4:$L$503,"&lt;&gt;"&amp;L147)&gt;0),"跨校题目配置不一致","通过")))))))</x:f>
      </x:c>
    </x:row>
    <x:row r="148" ht="22" customHeight="1">
      <x:c r="A148" s="70"/>
      <x:c r="B148" s="70"/>
      <x:c r="C148" s="28"/>
      <x:c r="D148" s="28"/>
      <x:c r="E148" s="70"/>
      <x:c r="F148" s="71" t="str">
        <x:f>IFERROR(INDEX('学校信息'!$F$4:$F$53,MATCH(E148,'学校信息'!$A$4:$A$53,0)),"")</x:f>
      </x:c>
      <x:c r="G148" s="71" t="str">
        <x:f>IFERROR(INDEX('学校信息'!$G$4:$G$53,MATCH(E148,'学校信息'!$A$4:$A$53,0)),"")</x:f>
      </x:c>
      <x:c r="H148" s="70"/>
      <x:c r="I148" s="70"/>
      <x:c r="J148" s="70"/>
      <x:c r="K148" s="28"/>
      <x:c r="L148" s="28"/>
      <x:c r="M148" s="60" t="str">
        <x:f>IF(COUNTA(A148:E148)+COUNTA(H148:L148)=0,"",IF(OR(A148="",B148="",C148="",D148="",E148="",H148="",I148="",J148="",K148="",L148=""),"缺少必填项",IF(OR(LEN(I148)&lt;&gt;64,LEN(J148)&lt;&gt;64),"SHA400长度应为64",IF(COUNTIF('学校信息'!$A$4:$A$53,E148)=0,"学校ID不存在",IF(COUNTIFS($E$4:$E$503,E148,$A$4:$A$503,A148)&gt;1,"同校全局题目ID重复",IF(COUNTIFS($E$4:$E$503,E148,$H$4:$H$503,H148)&gt;1,"同校本地PID重复",IF(OR(COUNTIFS($A$4:$A$503,A148,$B$4:$B$503,"&lt;&gt;"&amp;B148)&gt;0,COUNTIFS($A$4:$A$503,A148,$C$4:$C$503,"&lt;&gt;"&amp;C148)&gt;0,COUNTIFS($A$4:$A$503,A148,$D$4:$D$503,"&lt;&gt;"&amp;D148)&gt;0,COUNTIFS($A$4:$A$503,A148,$I$4:$I$503,"&lt;&gt;"&amp;I148)&gt;0,COUNTIFS($A$4:$A$503,A148,$J$4:$J$503,"&lt;&gt;"&amp;J148)&gt;0,COUNTIFS($A$4:$A$503,A148,$K$4:$K$503,"&lt;&gt;"&amp;K148)&gt;0,COUNTIFS($A$4:$A$503,A148,$L$4:$L$503,"&lt;&gt;"&amp;L148)&gt;0),"跨校题目配置不一致","通过")))))))</x:f>
      </x:c>
    </x:row>
    <x:row r="149" ht="22" customHeight="1">
      <x:c r="A149" s="70"/>
      <x:c r="B149" s="70"/>
      <x:c r="C149" s="28"/>
      <x:c r="D149" s="28"/>
      <x:c r="E149" s="70"/>
      <x:c r="F149" s="71" t="str">
        <x:f>IFERROR(INDEX('学校信息'!$F$4:$F$53,MATCH(E149,'学校信息'!$A$4:$A$53,0)),"")</x:f>
      </x:c>
      <x:c r="G149" s="71" t="str">
        <x:f>IFERROR(INDEX('学校信息'!$G$4:$G$53,MATCH(E149,'学校信息'!$A$4:$A$53,0)),"")</x:f>
      </x:c>
      <x:c r="H149" s="70"/>
      <x:c r="I149" s="70"/>
      <x:c r="J149" s="70"/>
      <x:c r="K149" s="28"/>
      <x:c r="L149" s="28"/>
      <x:c r="M149" s="60" t="str">
        <x:f>IF(COUNTA(A149:E149)+COUNTA(H149:L149)=0,"",IF(OR(A149="",B149="",C149="",D149="",E149="",H149="",I149="",J149="",K149="",L149=""),"缺少必填项",IF(OR(LEN(I149)&lt;&gt;64,LEN(J149)&lt;&gt;64),"SHA401长度应为64",IF(COUNTIF('学校信息'!$A$4:$A$53,E149)=0,"学校ID不存在",IF(COUNTIFS($E$4:$E$503,E149,$A$4:$A$503,A149)&gt;1,"同校全局题目ID重复",IF(COUNTIFS($E$4:$E$503,E149,$H$4:$H$503,H149)&gt;1,"同校本地PID重复",IF(OR(COUNTIFS($A$4:$A$503,A149,$B$4:$B$503,"&lt;&gt;"&amp;B149)&gt;0,COUNTIFS($A$4:$A$503,A149,$C$4:$C$503,"&lt;&gt;"&amp;C149)&gt;0,COUNTIFS($A$4:$A$503,A149,$D$4:$D$503,"&lt;&gt;"&amp;D149)&gt;0,COUNTIFS($A$4:$A$503,A149,$I$4:$I$503,"&lt;&gt;"&amp;I149)&gt;0,COUNTIFS($A$4:$A$503,A149,$J$4:$J$503,"&lt;&gt;"&amp;J149)&gt;0,COUNTIFS($A$4:$A$503,A149,$K$4:$K$503,"&lt;&gt;"&amp;K149)&gt;0,COUNTIFS($A$4:$A$503,A149,$L$4:$L$503,"&lt;&gt;"&amp;L149)&gt;0),"跨校题目配置不一致","通过")))))))</x:f>
      </x:c>
    </x:row>
    <x:row r="150" ht="22" customHeight="1">
      <x:c r="A150" s="70"/>
      <x:c r="B150" s="70"/>
      <x:c r="C150" s="28"/>
      <x:c r="D150" s="28"/>
      <x:c r="E150" s="70"/>
      <x:c r="F150" s="71" t="str">
        <x:f>IFERROR(INDEX('学校信息'!$F$4:$F$53,MATCH(E150,'学校信息'!$A$4:$A$53,0)),"")</x:f>
      </x:c>
      <x:c r="G150" s="71" t="str">
        <x:f>IFERROR(INDEX('学校信息'!$G$4:$G$53,MATCH(E150,'学校信息'!$A$4:$A$53,0)),"")</x:f>
      </x:c>
      <x:c r="H150" s="70"/>
      <x:c r="I150" s="70"/>
      <x:c r="J150" s="70"/>
      <x:c r="K150" s="28"/>
      <x:c r="L150" s="28"/>
      <x:c r="M150" s="60" t="str">
        <x:f>IF(COUNTA(A150:E150)+COUNTA(H150:L150)=0,"",IF(OR(A150="",B150="",C150="",D150="",E150="",H150="",I150="",J150="",K150="",L150=""),"缺少必填项",IF(OR(LEN(I150)&lt;&gt;64,LEN(J150)&lt;&gt;64),"SHA402长度应为64",IF(COUNTIF('学校信息'!$A$4:$A$53,E150)=0,"学校ID不存在",IF(COUNTIFS($E$4:$E$503,E150,$A$4:$A$503,A150)&gt;1,"同校全局题目ID重复",IF(COUNTIFS($E$4:$E$503,E150,$H$4:$H$503,H150)&gt;1,"同校本地PID重复",IF(OR(COUNTIFS($A$4:$A$503,A150,$B$4:$B$503,"&lt;&gt;"&amp;B150)&gt;0,COUNTIFS($A$4:$A$503,A150,$C$4:$C$503,"&lt;&gt;"&amp;C150)&gt;0,COUNTIFS($A$4:$A$503,A150,$D$4:$D$503,"&lt;&gt;"&amp;D150)&gt;0,COUNTIFS($A$4:$A$503,A150,$I$4:$I$503,"&lt;&gt;"&amp;I150)&gt;0,COUNTIFS($A$4:$A$503,A150,$J$4:$J$503,"&lt;&gt;"&amp;J150)&gt;0,COUNTIFS($A$4:$A$503,A150,$K$4:$K$503,"&lt;&gt;"&amp;K150)&gt;0,COUNTIFS($A$4:$A$503,A150,$L$4:$L$503,"&lt;&gt;"&amp;L150)&gt;0),"跨校题目配置不一致","通过")))))))</x:f>
      </x:c>
    </x:row>
    <x:row r="151" ht="22" customHeight="1">
      <x:c r="A151" s="70"/>
      <x:c r="B151" s="70"/>
      <x:c r="C151" s="28"/>
      <x:c r="D151" s="28"/>
      <x:c r="E151" s="70"/>
      <x:c r="F151" s="71" t="str">
        <x:f>IFERROR(INDEX('学校信息'!$F$4:$F$53,MATCH(E151,'学校信息'!$A$4:$A$53,0)),"")</x:f>
      </x:c>
      <x:c r="G151" s="71" t="str">
        <x:f>IFERROR(INDEX('学校信息'!$G$4:$G$53,MATCH(E151,'学校信息'!$A$4:$A$53,0)),"")</x:f>
      </x:c>
      <x:c r="H151" s="70"/>
      <x:c r="I151" s="70"/>
      <x:c r="J151" s="70"/>
      <x:c r="K151" s="28"/>
      <x:c r="L151" s="28"/>
      <x:c r="M151" s="60" t="str">
        <x:f>IF(COUNTA(A151:E151)+COUNTA(H151:L151)=0,"",IF(OR(A151="",B151="",C151="",D151="",E151="",H151="",I151="",J151="",K151="",L151=""),"缺少必填项",IF(OR(LEN(I151)&lt;&gt;64,LEN(J151)&lt;&gt;64),"SHA403长度应为64",IF(COUNTIF('学校信息'!$A$4:$A$53,E151)=0,"学校ID不存在",IF(COUNTIFS($E$4:$E$503,E151,$A$4:$A$503,A151)&gt;1,"同校全局题目ID重复",IF(COUNTIFS($E$4:$E$503,E151,$H$4:$H$503,H151)&gt;1,"同校本地PID重复",IF(OR(COUNTIFS($A$4:$A$503,A151,$B$4:$B$503,"&lt;&gt;"&amp;B151)&gt;0,COUNTIFS($A$4:$A$503,A151,$C$4:$C$503,"&lt;&gt;"&amp;C151)&gt;0,COUNTIFS($A$4:$A$503,A151,$D$4:$D$503,"&lt;&gt;"&amp;D151)&gt;0,COUNTIFS($A$4:$A$503,A151,$I$4:$I$503,"&lt;&gt;"&amp;I151)&gt;0,COUNTIFS($A$4:$A$503,A151,$J$4:$J$503,"&lt;&gt;"&amp;J151)&gt;0,COUNTIFS($A$4:$A$503,A151,$K$4:$K$503,"&lt;&gt;"&amp;K151)&gt;0,COUNTIFS($A$4:$A$503,A151,$L$4:$L$503,"&lt;&gt;"&amp;L151)&gt;0),"跨校题目配置不一致","通过")))))))</x:f>
      </x:c>
    </x:row>
    <x:row r="152" ht="22" customHeight="1">
      <x:c r="A152" s="70"/>
      <x:c r="B152" s="70"/>
      <x:c r="C152" s="28"/>
      <x:c r="D152" s="28"/>
      <x:c r="E152" s="70"/>
      <x:c r="F152" s="71" t="str">
        <x:f>IFERROR(INDEX('学校信息'!$F$4:$F$53,MATCH(E152,'学校信息'!$A$4:$A$53,0)),"")</x:f>
      </x:c>
      <x:c r="G152" s="71" t="str">
        <x:f>IFERROR(INDEX('学校信息'!$G$4:$G$53,MATCH(E152,'学校信息'!$A$4:$A$53,0)),"")</x:f>
      </x:c>
      <x:c r="H152" s="70"/>
      <x:c r="I152" s="70"/>
      <x:c r="J152" s="70"/>
      <x:c r="K152" s="28"/>
      <x:c r="L152" s="28"/>
      <x:c r="M152" s="60" t="str">
        <x:f>IF(COUNTA(A152:E152)+COUNTA(H152:L152)=0,"",IF(OR(A152="",B152="",C152="",D152="",E152="",H152="",I152="",J152="",K152="",L152=""),"缺少必填项",IF(OR(LEN(I152)&lt;&gt;64,LEN(J152)&lt;&gt;64),"SHA404长度应为64",IF(COUNTIF('学校信息'!$A$4:$A$53,E152)=0,"学校ID不存在",IF(COUNTIFS($E$4:$E$503,E152,$A$4:$A$503,A152)&gt;1,"同校全局题目ID重复",IF(COUNTIFS($E$4:$E$503,E152,$H$4:$H$503,H152)&gt;1,"同校本地PID重复",IF(OR(COUNTIFS($A$4:$A$503,A152,$B$4:$B$503,"&lt;&gt;"&amp;B152)&gt;0,COUNTIFS($A$4:$A$503,A152,$C$4:$C$503,"&lt;&gt;"&amp;C152)&gt;0,COUNTIFS($A$4:$A$503,A152,$D$4:$D$503,"&lt;&gt;"&amp;D152)&gt;0,COUNTIFS($A$4:$A$503,A152,$I$4:$I$503,"&lt;&gt;"&amp;I152)&gt;0,COUNTIFS($A$4:$A$503,A152,$J$4:$J$503,"&lt;&gt;"&amp;J152)&gt;0,COUNTIFS($A$4:$A$503,A152,$K$4:$K$503,"&lt;&gt;"&amp;K152)&gt;0,COUNTIFS($A$4:$A$503,A152,$L$4:$L$503,"&lt;&gt;"&amp;L152)&gt;0),"跨校题目配置不一致","通过")))))))</x:f>
      </x:c>
    </x:row>
    <x:row r="153" ht="22" customHeight="1">
      <x:c r="A153" s="70"/>
      <x:c r="B153" s="70"/>
      <x:c r="C153" s="28"/>
      <x:c r="D153" s="28"/>
      <x:c r="E153" s="70"/>
      <x:c r="F153" s="71" t="str">
        <x:f>IFERROR(INDEX('学校信息'!$F$4:$F$53,MATCH(E153,'学校信息'!$A$4:$A$53,0)),"")</x:f>
      </x:c>
      <x:c r="G153" s="71" t="str">
        <x:f>IFERROR(INDEX('学校信息'!$G$4:$G$53,MATCH(E153,'学校信息'!$A$4:$A$53,0)),"")</x:f>
      </x:c>
      <x:c r="H153" s="70"/>
      <x:c r="I153" s="70"/>
      <x:c r="J153" s="70"/>
      <x:c r="K153" s="28"/>
      <x:c r="L153" s="28"/>
      <x:c r="M153" s="60" t="str">
        <x:f>IF(COUNTA(A153:E153)+COUNTA(H153:L153)=0,"",IF(OR(A153="",B153="",C153="",D153="",E153="",H153="",I153="",J153="",K153="",L153=""),"缺少必填项",IF(OR(LEN(I153)&lt;&gt;64,LEN(J153)&lt;&gt;64),"SHA405长度应为64",IF(COUNTIF('学校信息'!$A$4:$A$53,E153)=0,"学校ID不存在",IF(COUNTIFS($E$4:$E$503,E153,$A$4:$A$503,A153)&gt;1,"同校全局题目ID重复",IF(COUNTIFS($E$4:$E$503,E153,$H$4:$H$503,H153)&gt;1,"同校本地PID重复",IF(OR(COUNTIFS($A$4:$A$503,A153,$B$4:$B$503,"&lt;&gt;"&amp;B153)&gt;0,COUNTIFS($A$4:$A$503,A153,$C$4:$C$503,"&lt;&gt;"&amp;C153)&gt;0,COUNTIFS($A$4:$A$503,A153,$D$4:$D$503,"&lt;&gt;"&amp;D153)&gt;0,COUNTIFS($A$4:$A$503,A153,$I$4:$I$503,"&lt;&gt;"&amp;I153)&gt;0,COUNTIFS($A$4:$A$503,A153,$J$4:$J$503,"&lt;&gt;"&amp;J153)&gt;0,COUNTIFS($A$4:$A$503,A153,$K$4:$K$503,"&lt;&gt;"&amp;K153)&gt;0,COUNTIFS($A$4:$A$503,A153,$L$4:$L$503,"&lt;&gt;"&amp;L153)&gt;0),"跨校题目配置不一致","通过")))))))</x:f>
      </x:c>
    </x:row>
    <x:row r="154" ht="22" customHeight="1">
      <x:c r="A154" s="70"/>
      <x:c r="B154" s="70"/>
      <x:c r="C154" s="28"/>
      <x:c r="D154" s="28"/>
      <x:c r="E154" s="70"/>
      <x:c r="F154" s="71" t="str">
        <x:f>IFERROR(INDEX('学校信息'!$F$4:$F$53,MATCH(E154,'学校信息'!$A$4:$A$53,0)),"")</x:f>
      </x:c>
      <x:c r="G154" s="71" t="str">
        <x:f>IFERROR(INDEX('学校信息'!$G$4:$G$53,MATCH(E154,'学校信息'!$A$4:$A$53,0)),"")</x:f>
      </x:c>
      <x:c r="H154" s="70"/>
      <x:c r="I154" s="70"/>
      <x:c r="J154" s="70"/>
      <x:c r="K154" s="28"/>
      <x:c r="L154" s="28"/>
      <x:c r="M154" s="60" t="str">
        <x:f>IF(COUNTA(A154:E154)+COUNTA(H154:L154)=0,"",IF(OR(A154="",B154="",C154="",D154="",E154="",H154="",I154="",J154="",K154="",L154=""),"缺少必填项",IF(OR(LEN(I154)&lt;&gt;64,LEN(J154)&lt;&gt;64),"SHA406长度应为64",IF(COUNTIF('学校信息'!$A$4:$A$53,E154)=0,"学校ID不存在",IF(COUNTIFS($E$4:$E$503,E154,$A$4:$A$503,A154)&gt;1,"同校全局题目ID重复",IF(COUNTIFS($E$4:$E$503,E154,$H$4:$H$503,H154)&gt;1,"同校本地PID重复",IF(OR(COUNTIFS($A$4:$A$503,A154,$B$4:$B$503,"&lt;&gt;"&amp;B154)&gt;0,COUNTIFS($A$4:$A$503,A154,$C$4:$C$503,"&lt;&gt;"&amp;C154)&gt;0,COUNTIFS($A$4:$A$503,A154,$D$4:$D$503,"&lt;&gt;"&amp;D154)&gt;0,COUNTIFS($A$4:$A$503,A154,$I$4:$I$503,"&lt;&gt;"&amp;I154)&gt;0,COUNTIFS($A$4:$A$503,A154,$J$4:$J$503,"&lt;&gt;"&amp;J154)&gt;0,COUNTIFS($A$4:$A$503,A154,$K$4:$K$503,"&lt;&gt;"&amp;K154)&gt;0,COUNTIFS($A$4:$A$503,A154,$L$4:$L$503,"&lt;&gt;"&amp;L154)&gt;0),"跨校题目配置不一致","通过")))))))</x:f>
      </x:c>
    </x:row>
    <x:row r="155" ht="22" customHeight="1">
      <x:c r="A155" s="70"/>
      <x:c r="B155" s="70"/>
      <x:c r="C155" s="28"/>
      <x:c r="D155" s="28"/>
      <x:c r="E155" s="70"/>
      <x:c r="F155" s="71" t="str">
        <x:f>IFERROR(INDEX('学校信息'!$F$4:$F$53,MATCH(E155,'学校信息'!$A$4:$A$53,0)),"")</x:f>
      </x:c>
      <x:c r="G155" s="71" t="str">
        <x:f>IFERROR(INDEX('学校信息'!$G$4:$G$53,MATCH(E155,'学校信息'!$A$4:$A$53,0)),"")</x:f>
      </x:c>
      <x:c r="H155" s="70"/>
      <x:c r="I155" s="70"/>
      <x:c r="J155" s="70"/>
      <x:c r="K155" s="28"/>
      <x:c r="L155" s="28"/>
      <x:c r="M155" s="60" t="str">
        <x:f>IF(COUNTA(A155:E155)+COUNTA(H155:L155)=0,"",IF(OR(A155="",B155="",C155="",D155="",E155="",H155="",I155="",J155="",K155="",L155=""),"缺少必填项",IF(OR(LEN(I155)&lt;&gt;64,LEN(J155)&lt;&gt;64),"SHA407长度应为64",IF(COUNTIF('学校信息'!$A$4:$A$53,E155)=0,"学校ID不存在",IF(COUNTIFS($E$4:$E$503,E155,$A$4:$A$503,A155)&gt;1,"同校全局题目ID重复",IF(COUNTIFS($E$4:$E$503,E155,$H$4:$H$503,H155)&gt;1,"同校本地PID重复",IF(OR(COUNTIFS($A$4:$A$503,A155,$B$4:$B$503,"&lt;&gt;"&amp;B155)&gt;0,COUNTIFS($A$4:$A$503,A155,$C$4:$C$503,"&lt;&gt;"&amp;C155)&gt;0,COUNTIFS($A$4:$A$503,A155,$D$4:$D$503,"&lt;&gt;"&amp;D155)&gt;0,COUNTIFS($A$4:$A$503,A155,$I$4:$I$503,"&lt;&gt;"&amp;I155)&gt;0,COUNTIFS($A$4:$A$503,A155,$J$4:$J$503,"&lt;&gt;"&amp;J155)&gt;0,COUNTIFS($A$4:$A$503,A155,$K$4:$K$503,"&lt;&gt;"&amp;K155)&gt;0,COUNTIFS($A$4:$A$503,A155,$L$4:$L$503,"&lt;&gt;"&amp;L155)&gt;0),"跨校题目配置不一致","通过")))))))</x:f>
      </x:c>
    </x:row>
    <x:row r="156" ht="22" customHeight="1">
      <x:c r="A156" s="70"/>
      <x:c r="B156" s="70"/>
      <x:c r="C156" s="28"/>
      <x:c r="D156" s="28"/>
      <x:c r="E156" s="70"/>
      <x:c r="F156" s="71" t="str">
        <x:f>IFERROR(INDEX('学校信息'!$F$4:$F$53,MATCH(E156,'学校信息'!$A$4:$A$53,0)),"")</x:f>
      </x:c>
      <x:c r="G156" s="71" t="str">
        <x:f>IFERROR(INDEX('学校信息'!$G$4:$G$53,MATCH(E156,'学校信息'!$A$4:$A$53,0)),"")</x:f>
      </x:c>
      <x:c r="H156" s="70"/>
      <x:c r="I156" s="70"/>
      <x:c r="J156" s="70"/>
      <x:c r="K156" s="28"/>
      <x:c r="L156" s="28"/>
      <x:c r="M156" s="60" t="str">
        <x:f>IF(COUNTA(A156:E156)+COUNTA(H156:L156)=0,"",IF(OR(A156="",B156="",C156="",D156="",E156="",H156="",I156="",J156="",K156="",L156=""),"缺少必填项",IF(OR(LEN(I156)&lt;&gt;64,LEN(J156)&lt;&gt;64),"SHA408长度应为64",IF(COUNTIF('学校信息'!$A$4:$A$53,E156)=0,"学校ID不存在",IF(COUNTIFS($E$4:$E$503,E156,$A$4:$A$503,A156)&gt;1,"同校全局题目ID重复",IF(COUNTIFS($E$4:$E$503,E156,$H$4:$H$503,H156)&gt;1,"同校本地PID重复",IF(OR(COUNTIFS($A$4:$A$503,A156,$B$4:$B$503,"&lt;&gt;"&amp;B156)&gt;0,COUNTIFS($A$4:$A$503,A156,$C$4:$C$503,"&lt;&gt;"&amp;C156)&gt;0,COUNTIFS($A$4:$A$503,A156,$D$4:$D$503,"&lt;&gt;"&amp;D156)&gt;0,COUNTIFS($A$4:$A$503,A156,$I$4:$I$503,"&lt;&gt;"&amp;I156)&gt;0,COUNTIFS($A$4:$A$503,A156,$J$4:$J$503,"&lt;&gt;"&amp;J156)&gt;0,COUNTIFS($A$4:$A$503,A156,$K$4:$K$503,"&lt;&gt;"&amp;K156)&gt;0,COUNTIFS($A$4:$A$503,A156,$L$4:$L$503,"&lt;&gt;"&amp;L156)&gt;0),"跨校题目配置不一致","通过")))))))</x:f>
      </x:c>
    </x:row>
    <x:row r="157" ht="22" customHeight="1">
      <x:c r="A157" s="70"/>
      <x:c r="B157" s="70"/>
      <x:c r="C157" s="28"/>
      <x:c r="D157" s="28"/>
      <x:c r="E157" s="70"/>
      <x:c r="F157" s="71" t="str">
        <x:f>IFERROR(INDEX('学校信息'!$F$4:$F$53,MATCH(E157,'学校信息'!$A$4:$A$53,0)),"")</x:f>
      </x:c>
      <x:c r="G157" s="71" t="str">
        <x:f>IFERROR(INDEX('学校信息'!$G$4:$G$53,MATCH(E157,'学校信息'!$A$4:$A$53,0)),"")</x:f>
      </x:c>
      <x:c r="H157" s="70"/>
      <x:c r="I157" s="70"/>
      <x:c r="J157" s="70"/>
      <x:c r="K157" s="28"/>
      <x:c r="L157" s="28"/>
      <x:c r="M157" s="60" t="str">
        <x:f>IF(COUNTA(A157:E157)+COUNTA(H157:L157)=0,"",IF(OR(A157="",B157="",C157="",D157="",E157="",H157="",I157="",J157="",K157="",L157=""),"缺少必填项",IF(OR(LEN(I157)&lt;&gt;64,LEN(J157)&lt;&gt;64),"SHA409长度应为64",IF(COUNTIF('学校信息'!$A$4:$A$53,E157)=0,"学校ID不存在",IF(COUNTIFS($E$4:$E$503,E157,$A$4:$A$503,A157)&gt;1,"同校全局题目ID重复",IF(COUNTIFS($E$4:$E$503,E157,$H$4:$H$503,H157)&gt;1,"同校本地PID重复",IF(OR(COUNTIFS($A$4:$A$503,A157,$B$4:$B$503,"&lt;&gt;"&amp;B157)&gt;0,COUNTIFS($A$4:$A$503,A157,$C$4:$C$503,"&lt;&gt;"&amp;C157)&gt;0,COUNTIFS($A$4:$A$503,A157,$D$4:$D$503,"&lt;&gt;"&amp;D157)&gt;0,COUNTIFS($A$4:$A$503,A157,$I$4:$I$503,"&lt;&gt;"&amp;I157)&gt;0,COUNTIFS($A$4:$A$503,A157,$J$4:$J$503,"&lt;&gt;"&amp;J157)&gt;0,COUNTIFS($A$4:$A$503,A157,$K$4:$K$503,"&lt;&gt;"&amp;K157)&gt;0,COUNTIFS($A$4:$A$503,A157,$L$4:$L$503,"&lt;&gt;"&amp;L157)&gt;0),"跨校题目配置不一致","通过")))))))</x:f>
      </x:c>
    </x:row>
    <x:row r="158" ht="22" customHeight="1">
      <x:c r="A158" s="70"/>
      <x:c r="B158" s="70"/>
      <x:c r="C158" s="28"/>
      <x:c r="D158" s="28"/>
      <x:c r="E158" s="70"/>
      <x:c r="F158" s="71" t="str">
        <x:f>IFERROR(INDEX('学校信息'!$F$4:$F$53,MATCH(E158,'学校信息'!$A$4:$A$53,0)),"")</x:f>
      </x:c>
      <x:c r="G158" s="71" t="str">
        <x:f>IFERROR(INDEX('学校信息'!$G$4:$G$53,MATCH(E158,'学校信息'!$A$4:$A$53,0)),"")</x:f>
      </x:c>
      <x:c r="H158" s="70"/>
      <x:c r="I158" s="70"/>
      <x:c r="J158" s="70"/>
      <x:c r="K158" s="28"/>
      <x:c r="L158" s="28"/>
      <x:c r="M158" s="60" t="str">
        <x:f>IF(COUNTA(A158:E158)+COUNTA(H158:L158)=0,"",IF(OR(A158="",B158="",C158="",D158="",E158="",H158="",I158="",J158="",K158="",L158=""),"缺少必填项",IF(OR(LEN(I158)&lt;&gt;64,LEN(J158)&lt;&gt;64),"SHA410长度应为64",IF(COUNTIF('学校信息'!$A$4:$A$53,E158)=0,"学校ID不存在",IF(COUNTIFS($E$4:$E$503,E158,$A$4:$A$503,A158)&gt;1,"同校全局题目ID重复",IF(COUNTIFS($E$4:$E$503,E158,$H$4:$H$503,H158)&gt;1,"同校本地PID重复",IF(OR(COUNTIFS($A$4:$A$503,A158,$B$4:$B$503,"&lt;&gt;"&amp;B158)&gt;0,COUNTIFS($A$4:$A$503,A158,$C$4:$C$503,"&lt;&gt;"&amp;C158)&gt;0,COUNTIFS($A$4:$A$503,A158,$D$4:$D$503,"&lt;&gt;"&amp;D158)&gt;0,COUNTIFS($A$4:$A$503,A158,$I$4:$I$503,"&lt;&gt;"&amp;I158)&gt;0,COUNTIFS($A$4:$A$503,A158,$J$4:$J$503,"&lt;&gt;"&amp;J158)&gt;0,COUNTIFS($A$4:$A$503,A158,$K$4:$K$503,"&lt;&gt;"&amp;K158)&gt;0,COUNTIFS($A$4:$A$503,A158,$L$4:$L$503,"&lt;&gt;"&amp;L158)&gt;0),"跨校题目配置不一致","通过")))))))</x:f>
      </x:c>
    </x:row>
    <x:row r="159" ht="22" customHeight="1">
      <x:c r="A159" s="70"/>
      <x:c r="B159" s="70"/>
      <x:c r="C159" s="28"/>
      <x:c r="D159" s="28"/>
      <x:c r="E159" s="70"/>
      <x:c r="F159" s="71" t="str">
        <x:f>IFERROR(INDEX('学校信息'!$F$4:$F$53,MATCH(E159,'学校信息'!$A$4:$A$53,0)),"")</x:f>
      </x:c>
      <x:c r="G159" s="71" t="str">
        <x:f>IFERROR(INDEX('学校信息'!$G$4:$G$53,MATCH(E159,'学校信息'!$A$4:$A$53,0)),"")</x:f>
      </x:c>
      <x:c r="H159" s="70"/>
      <x:c r="I159" s="70"/>
      <x:c r="J159" s="70"/>
      <x:c r="K159" s="28"/>
      <x:c r="L159" s="28"/>
      <x:c r="M159" s="60" t="str">
        <x:f>IF(COUNTA(A159:E159)+COUNTA(H159:L159)=0,"",IF(OR(A159="",B159="",C159="",D159="",E159="",H159="",I159="",J159="",K159="",L159=""),"缺少必填项",IF(OR(LEN(I159)&lt;&gt;64,LEN(J159)&lt;&gt;64),"SHA411长度应为64",IF(COUNTIF('学校信息'!$A$4:$A$53,E159)=0,"学校ID不存在",IF(COUNTIFS($E$4:$E$503,E159,$A$4:$A$503,A159)&gt;1,"同校全局题目ID重复",IF(COUNTIFS($E$4:$E$503,E159,$H$4:$H$503,H159)&gt;1,"同校本地PID重复",IF(OR(COUNTIFS($A$4:$A$503,A159,$B$4:$B$503,"&lt;&gt;"&amp;B159)&gt;0,COUNTIFS($A$4:$A$503,A159,$C$4:$C$503,"&lt;&gt;"&amp;C159)&gt;0,COUNTIFS($A$4:$A$503,A159,$D$4:$D$503,"&lt;&gt;"&amp;D159)&gt;0,COUNTIFS($A$4:$A$503,A159,$I$4:$I$503,"&lt;&gt;"&amp;I159)&gt;0,COUNTIFS($A$4:$A$503,A159,$J$4:$J$503,"&lt;&gt;"&amp;J159)&gt;0,COUNTIFS($A$4:$A$503,A159,$K$4:$K$503,"&lt;&gt;"&amp;K159)&gt;0,COUNTIFS($A$4:$A$503,A159,$L$4:$L$503,"&lt;&gt;"&amp;L159)&gt;0),"跨校题目配置不一致","通过")))))))</x:f>
      </x:c>
    </x:row>
    <x:row r="160" ht="22" customHeight="1">
      <x:c r="A160" s="70"/>
      <x:c r="B160" s="70"/>
      <x:c r="C160" s="28"/>
      <x:c r="D160" s="28"/>
      <x:c r="E160" s="70"/>
      <x:c r="F160" s="71" t="str">
        <x:f>IFERROR(INDEX('学校信息'!$F$4:$F$53,MATCH(E160,'学校信息'!$A$4:$A$53,0)),"")</x:f>
      </x:c>
      <x:c r="G160" s="71" t="str">
        <x:f>IFERROR(INDEX('学校信息'!$G$4:$G$53,MATCH(E160,'学校信息'!$A$4:$A$53,0)),"")</x:f>
      </x:c>
      <x:c r="H160" s="70"/>
      <x:c r="I160" s="70"/>
      <x:c r="J160" s="70"/>
      <x:c r="K160" s="28"/>
      <x:c r="L160" s="28"/>
      <x:c r="M160" s="60" t="str">
        <x:f>IF(COUNTA(A160:E160)+COUNTA(H160:L160)=0,"",IF(OR(A160="",B160="",C160="",D160="",E160="",H160="",I160="",J160="",K160="",L160=""),"缺少必填项",IF(OR(LEN(I160)&lt;&gt;64,LEN(J160)&lt;&gt;64),"SHA412长度应为64",IF(COUNTIF('学校信息'!$A$4:$A$53,E160)=0,"学校ID不存在",IF(COUNTIFS($E$4:$E$503,E160,$A$4:$A$503,A160)&gt;1,"同校全局题目ID重复",IF(COUNTIFS($E$4:$E$503,E160,$H$4:$H$503,H160)&gt;1,"同校本地PID重复",IF(OR(COUNTIFS($A$4:$A$503,A160,$B$4:$B$503,"&lt;&gt;"&amp;B160)&gt;0,COUNTIFS($A$4:$A$503,A160,$C$4:$C$503,"&lt;&gt;"&amp;C160)&gt;0,COUNTIFS($A$4:$A$503,A160,$D$4:$D$503,"&lt;&gt;"&amp;D160)&gt;0,COUNTIFS($A$4:$A$503,A160,$I$4:$I$503,"&lt;&gt;"&amp;I160)&gt;0,COUNTIFS($A$4:$A$503,A160,$J$4:$J$503,"&lt;&gt;"&amp;J160)&gt;0,COUNTIFS($A$4:$A$503,A160,$K$4:$K$503,"&lt;&gt;"&amp;K160)&gt;0,COUNTIFS($A$4:$A$503,A160,$L$4:$L$503,"&lt;&gt;"&amp;L160)&gt;0),"跨校题目配置不一致","通过")))))))</x:f>
      </x:c>
    </x:row>
    <x:row r="161" ht="22" customHeight="1">
      <x:c r="A161" s="70"/>
      <x:c r="B161" s="70"/>
      <x:c r="C161" s="28"/>
      <x:c r="D161" s="28"/>
      <x:c r="E161" s="70"/>
      <x:c r="F161" s="71" t="str">
        <x:f>IFERROR(INDEX('学校信息'!$F$4:$F$53,MATCH(E161,'学校信息'!$A$4:$A$53,0)),"")</x:f>
      </x:c>
      <x:c r="G161" s="71" t="str">
        <x:f>IFERROR(INDEX('学校信息'!$G$4:$G$53,MATCH(E161,'学校信息'!$A$4:$A$53,0)),"")</x:f>
      </x:c>
      <x:c r="H161" s="70"/>
      <x:c r="I161" s="70"/>
      <x:c r="J161" s="70"/>
      <x:c r="K161" s="28"/>
      <x:c r="L161" s="28"/>
      <x:c r="M161" s="60" t="str">
        <x:f>IF(COUNTA(A161:E161)+COUNTA(H161:L161)=0,"",IF(OR(A161="",B161="",C161="",D161="",E161="",H161="",I161="",J161="",K161="",L161=""),"缺少必填项",IF(OR(LEN(I161)&lt;&gt;64,LEN(J161)&lt;&gt;64),"SHA413长度应为64",IF(COUNTIF('学校信息'!$A$4:$A$53,E161)=0,"学校ID不存在",IF(COUNTIFS($E$4:$E$503,E161,$A$4:$A$503,A161)&gt;1,"同校全局题目ID重复",IF(COUNTIFS($E$4:$E$503,E161,$H$4:$H$503,H161)&gt;1,"同校本地PID重复",IF(OR(COUNTIFS($A$4:$A$503,A161,$B$4:$B$503,"&lt;&gt;"&amp;B161)&gt;0,COUNTIFS($A$4:$A$503,A161,$C$4:$C$503,"&lt;&gt;"&amp;C161)&gt;0,COUNTIFS($A$4:$A$503,A161,$D$4:$D$503,"&lt;&gt;"&amp;D161)&gt;0,COUNTIFS($A$4:$A$503,A161,$I$4:$I$503,"&lt;&gt;"&amp;I161)&gt;0,COUNTIFS($A$4:$A$503,A161,$J$4:$J$503,"&lt;&gt;"&amp;J161)&gt;0,COUNTIFS($A$4:$A$503,A161,$K$4:$K$503,"&lt;&gt;"&amp;K161)&gt;0,COUNTIFS($A$4:$A$503,A161,$L$4:$L$503,"&lt;&gt;"&amp;L161)&gt;0),"跨校题目配置不一致","通过")))))))</x:f>
      </x:c>
    </x:row>
    <x:row r="162" ht="22" customHeight="1">
      <x:c r="A162" s="70"/>
      <x:c r="B162" s="70"/>
      <x:c r="C162" s="28"/>
      <x:c r="D162" s="28"/>
      <x:c r="E162" s="70"/>
      <x:c r="F162" s="71" t="str">
        <x:f>IFERROR(INDEX('学校信息'!$F$4:$F$53,MATCH(E162,'学校信息'!$A$4:$A$53,0)),"")</x:f>
      </x:c>
      <x:c r="G162" s="71" t="str">
        <x:f>IFERROR(INDEX('学校信息'!$G$4:$G$53,MATCH(E162,'学校信息'!$A$4:$A$53,0)),"")</x:f>
      </x:c>
      <x:c r="H162" s="70"/>
      <x:c r="I162" s="70"/>
      <x:c r="J162" s="70"/>
      <x:c r="K162" s="28"/>
      <x:c r="L162" s="28"/>
      <x:c r="M162" s="60" t="str">
        <x:f>IF(COUNTA(A162:E162)+COUNTA(H162:L162)=0,"",IF(OR(A162="",B162="",C162="",D162="",E162="",H162="",I162="",J162="",K162="",L162=""),"缺少必填项",IF(OR(LEN(I162)&lt;&gt;64,LEN(J162)&lt;&gt;64),"SHA414长度应为64",IF(COUNTIF('学校信息'!$A$4:$A$53,E162)=0,"学校ID不存在",IF(COUNTIFS($E$4:$E$503,E162,$A$4:$A$503,A162)&gt;1,"同校全局题目ID重复",IF(COUNTIFS($E$4:$E$503,E162,$H$4:$H$503,H162)&gt;1,"同校本地PID重复",IF(OR(COUNTIFS($A$4:$A$503,A162,$B$4:$B$503,"&lt;&gt;"&amp;B162)&gt;0,COUNTIFS($A$4:$A$503,A162,$C$4:$C$503,"&lt;&gt;"&amp;C162)&gt;0,COUNTIFS($A$4:$A$503,A162,$D$4:$D$503,"&lt;&gt;"&amp;D162)&gt;0,COUNTIFS($A$4:$A$503,A162,$I$4:$I$503,"&lt;&gt;"&amp;I162)&gt;0,COUNTIFS($A$4:$A$503,A162,$J$4:$J$503,"&lt;&gt;"&amp;J162)&gt;0,COUNTIFS($A$4:$A$503,A162,$K$4:$K$503,"&lt;&gt;"&amp;K162)&gt;0,COUNTIFS($A$4:$A$503,A162,$L$4:$L$503,"&lt;&gt;"&amp;L162)&gt;0),"跨校题目配置不一致","通过")))))))</x:f>
      </x:c>
    </x:row>
    <x:row r="163" ht="22" customHeight="1">
      <x:c r="A163" s="70"/>
      <x:c r="B163" s="70"/>
      <x:c r="C163" s="28"/>
      <x:c r="D163" s="28"/>
      <x:c r="E163" s="70"/>
      <x:c r="F163" s="71" t="str">
        <x:f>IFERROR(INDEX('学校信息'!$F$4:$F$53,MATCH(E163,'学校信息'!$A$4:$A$53,0)),"")</x:f>
      </x:c>
      <x:c r="G163" s="71" t="str">
        <x:f>IFERROR(INDEX('学校信息'!$G$4:$G$53,MATCH(E163,'学校信息'!$A$4:$A$53,0)),"")</x:f>
      </x:c>
      <x:c r="H163" s="70"/>
      <x:c r="I163" s="70"/>
      <x:c r="J163" s="70"/>
      <x:c r="K163" s="28"/>
      <x:c r="L163" s="28"/>
      <x:c r="M163" s="60" t="str">
        <x:f>IF(COUNTA(A163:E163)+COUNTA(H163:L163)=0,"",IF(OR(A163="",B163="",C163="",D163="",E163="",H163="",I163="",J163="",K163="",L163=""),"缺少必填项",IF(OR(LEN(I163)&lt;&gt;64,LEN(J163)&lt;&gt;64),"SHA415长度应为64",IF(COUNTIF('学校信息'!$A$4:$A$53,E163)=0,"学校ID不存在",IF(COUNTIFS($E$4:$E$503,E163,$A$4:$A$503,A163)&gt;1,"同校全局题目ID重复",IF(COUNTIFS($E$4:$E$503,E163,$H$4:$H$503,H163)&gt;1,"同校本地PID重复",IF(OR(COUNTIFS($A$4:$A$503,A163,$B$4:$B$503,"&lt;&gt;"&amp;B163)&gt;0,COUNTIFS($A$4:$A$503,A163,$C$4:$C$503,"&lt;&gt;"&amp;C163)&gt;0,COUNTIFS($A$4:$A$503,A163,$D$4:$D$503,"&lt;&gt;"&amp;D163)&gt;0,COUNTIFS($A$4:$A$503,A163,$I$4:$I$503,"&lt;&gt;"&amp;I163)&gt;0,COUNTIFS($A$4:$A$503,A163,$J$4:$J$503,"&lt;&gt;"&amp;J163)&gt;0,COUNTIFS($A$4:$A$503,A163,$K$4:$K$503,"&lt;&gt;"&amp;K163)&gt;0,COUNTIFS($A$4:$A$503,A163,$L$4:$L$503,"&lt;&gt;"&amp;L163)&gt;0),"跨校题目配置不一致","通过")))))))</x:f>
      </x:c>
    </x:row>
    <x:row r="164" ht="22" customHeight="1">
      <x:c r="A164" s="70"/>
      <x:c r="B164" s="70"/>
      <x:c r="C164" s="28"/>
      <x:c r="D164" s="28"/>
      <x:c r="E164" s="70"/>
      <x:c r="F164" s="71" t="str">
        <x:f>IFERROR(INDEX('学校信息'!$F$4:$F$53,MATCH(E164,'学校信息'!$A$4:$A$53,0)),"")</x:f>
      </x:c>
      <x:c r="G164" s="71" t="str">
        <x:f>IFERROR(INDEX('学校信息'!$G$4:$G$53,MATCH(E164,'学校信息'!$A$4:$A$53,0)),"")</x:f>
      </x:c>
      <x:c r="H164" s="70"/>
      <x:c r="I164" s="70"/>
      <x:c r="J164" s="70"/>
      <x:c r="K164" s="28"/>
      <x:c r="L164" s="28"/>
      <x:c r="M164" s="60" t="str">
        <x:f>IF(COUNTA(A164:E164)+COUNTA(H164:L164)=0,"",IF(OR(A164="",B164="",C164="",D164="",E164="",H164="",I164="",J164="",K164="",L164=""),"缺少必填项",IF(OR(LEN(I164)&lt;&gt;64,LEN(J164)&lt;&gt;64),"SHA416长度应为64",IF(COUNTIF('学校信息'!$A$4:$A$53,E164)=0,"学校ID不存在",IF(COUNTIFS($E$4:$E$503,E164,$A$4:$A$503,A164)&gt;1,"同校全局题目ID重复",IF(COUNTIFS($E$4:$E$503,E164,$H$4:$H$503,H164)&gt;1,"同校本地PID重复",IF(OR(COUNTIFS($A$4:$A$503,A164,$B$4:$B$503,"&lt;&gt;"&amp;B164)&gt;0,COUNTIFS($A$4:$A$503,A164,$C$4:$C$503,"&lt;&gt;"&amp;C164)&gt;0,COUNTIFS($A$4:$A$503,A164,$D$4:$D$503,"&lt;&gt;"&amp;D164)&gt;0,COUNTIFS($A$4:$A$503,A164,$I$4:$I$503,"&lt;&gt;"&amp;I164)&gt;0,COUNTIFS($A$4:$A$503,A164,$J$4:$J$503,"&lt;&gt;"&amp;J164)&gt;0,COUNTIFS($A$4:$A$503,A164,$K$4:$K$503,"&lt;&gt;"&amp;K164)&gt;0,COUNTIFS($A$4:$A$503,A164,$L$4:$L$503,"&lt;&gt;"&amp;L164)&gt;0),"跨校题目配置不一致","通过")))))))</x:f>
      </x:c>
    </x:row>
    <x:row r="165" ht="22" customHeight="1">
      <x:c r="A165" s="70"/>
      <x:c r="B165" s="70"/>
      <x:c r="C165" s="28"/>
      <x:c r="D165" s="28"/>
      <x:c r="E165" s="70"/>
      <x:c r="F165" s="71" t="str">
        <x:f>IFERROR(INDEX('学校信息'!$F$4:$F$53,MATCH(E165,'学校信息'!$A$4:$A$53,0)),"")</x:f>
      </x:c>
      <x:c r="G165" s="71" t="str">
        <x:f>IFERROR(INDEX('学校信息'!$G$4:$G$53,MATCH(E165,'学校信息'!$A$4:$A$53,0)),"")</x:f>
      </x:c>
      <x:c r="H165" s="70"/>
      <x:c r="I165" s="70"/>
      <x:c r="J165" s="70"/>
      <x:c r="K165" s="28"/>
      <x:c r="L165" s="28"/>
      <x:c r="M165" s="60" t="str">
        <x:f>IF(COUNTA(A165:E165)+COUNTA(H165:L165)=0,"",IF(OR(A165="",B165="",C165="",D165="",E165="",H165="",I165="",J165="",K165="",L165=""),"缺少必填项",IF(OR(LEN(I165)&lt;&gt;64,LEN(J165)&lt;&gt;64),"SHA417长度应为64",IF(COUNTIF('学校信息'!$A$4:$A$53,E165)=0,"学校ID不存在",IF(COUNTIFS($E$4:$E$503,E165,$A$4:$A$503,A165)&gt;1,"同校全局题目ID重复",IF(COUNTIFS($E$4:$E$503,E165,$H$4:$H$503,H165)&gt;1,"同校本地PID重复",IF(OR(COUNTIFS($A$4:$A$503,A165,$B$4:$B$503,"&lt;&gt;"&amp;B165)&gt;0,COUNTIFS($A$4:$A$503,A165,$C$4:$C$503,"&lt;&gt;"&amp;C165)&gt;0,COUNTIFS($A$4:$A$503,A165,$D$4:$D$503,"&lt;&gt;"&amp;D165)&gt;0,COUNTIFS($A$4:$A$503,A165,$I$4:$I$503,"&lt;&gt;"&amp;I165)&gt;0,COUNTIFS($A$4:$A$503,A165,$J$4:$J$503,"&lt;&gt;"&amp;J165)&gt;0,COUNTIFS($A$4:$A$503,A165,$K$4:$K$503,"&lt;&gt;"&amp;K165)&gt;0,COUNTIFS($A$4:$A$503,A165,$L$4:$L$503,"&lt;&gt;"&amp;L165)&gt;0),"跨校题目配置不一致","通过")))))))</x:f>
      </x:c>
    </x:row>
    <x:row r="166" ht="22" customHeight="1">
      <x:c r="A166" s="70"/>
      <x:c r="B166" s="70"/>
      <x:c r="C166" s="28"/>
      <x:c r="D166" s="28"/>
      <x:c r="E166" s="70"/>
      <x:c r="F166" s="71" t="str">
        <x:f>IFERROR(INDEX('学校信息'!$F$4:$F$53,MATCH(E166,'学校信息'!$A$4:$A$53,0)),"")</x:f>
      </x:c>
      <x:c r="G166" s="71" t="str">
        <x:f>IFERROR(INDEX('学校信息'!$G$4:$G$53,MATCH(E166,'学校信息'!$A$4:$A$53,0)),"")</x:f>
      </x:c>
      <x:c r="H166" s="70"/>
      <x:c r="I166" s="70"/>
      <x:c r="J166" s="70"/>
      <x:c r="K166" s="28"/>
      <x:c r="L166" s="28"/>
      <x:c r="M166" s="60" t="str">
        <x:f>IF(COUNTA(A166:E166)+COUNTA(H166:L166)=0,"",IF(OR(A166="",B166="",C166="",D166="",E166="",H166="",I166="",J166="",K166="",L166=""),"缺少必填项",IF(OR(LEN(I166)&lt;&gt;64,LEN(J166)&lt;&gt;64),"SHA418长度应为64",IF(COUNTIF('学校信息'!$A$4:$A$53,E166)=0,"学校ID不存在",IF(COUNTIFS($E$4:$E$503,E166,$A$4:$A$503,A166)&gt;1,"同校全局题目ID重复",IF(COUNTIFS($E$4:$E$503,E166,$H$4:$H$503,H166)&gt;1,"同校本地PID重复",IF(OR(COUNTIFS($A$4:$A$503,A166,$B$4:$B$503,"&lt;&gt;"&amp;B166)&gt;0,COUNTIFS($A$4:$A$503,A166,$C$4:$C$503,"&lt;&gt;"&amp;C166)&gt;0,COUNTIFS($A$4:$A$503,A166,$D$4:$D$503,"&lt;&gt;"&amp;D166)&gt;0,COUNTIFS($A$4:$A$503,A166,$I$4:$I$503,"&lt;&gt;"&amp;I166)&gt;0,COUNTIFS($A$4:$A$503,A166,$J$4:$J$503,"&lt;&gt;"&amp;J166)&gt;0,COUNTIFS($A$4:$A$503,A166,$K$4:$K$503,"&lt;&gt;"&amp;K166)&gt;0,COUNTIFS($A$4:$A$503,A166,$L$4:$L$503,"&lt;&gt;"&amp;L166)&gt;0),"跨校题目配置不一致","通过")))))))</x:f>
      </x:c>
    </x:row>
    <x:row r="167" ht="22" customHeight="1">
      <x:c r="A167" s="70"/>
      <x:c r="B167" s="70"/>
      <x:c r="C167" s="28"/>
      <x:c r="D167" s="28"/>
      <x:c r="E167" s="70"/>
      <x:c r="F167" s="71" t="str">
        <x:f>IFERROR(INDEX('学校信息'!$F$4:$F$53,MATCH(E167,'学校信息'!$A$4:$A$53,0)),"")</x:f>
      </x:c>
      <x:c r="G167" s="71" t="str">
        <x:f>IFERROR(INDEX('学校信息'!$G$4:$G$53,MATCH(E167,'学校信息'!$A$4:$A$53,0)),"")</x:f>
      </x:c>
      <x:c r="H167" s="70"/>
      <x:c r="I167" s="70"/>
      <x:c r="J167" s="70"/>
      <x:c r="K167" s="28"/>
      <x:c r="L167" s="28"/>
      <x:c r="M167" s="60" t="str">
        <x:f>IF(COUNTA(A167:E167)+COUNTA(H167:L167)=0,"",IF(OR(A167="",B167="",C167="",D167="",E167="",H167="",I167="",J167="",K167="",L167=""),"缺少必填项",IF(OR(LEN(I167)&lt;&gt;64,LEN(J167)&lt;&gt;64),"SHA419长度应为64",IF(COUNTIF('学校信息'!$A$4:$A$53,E167)=0,"学校ID不存在",IF(COUNTIFS($E$4:$E$503,E167,$A$4:$A$503,A167)&gt;1,"同校全局题目ID重复",IF(COUNTIFS($E$4:$E$503,E167,$H$4:$H$503,H167)&gt;1,"同校本地PID重复",IF(OR(COUNTIFS($A$4:$A$503,A167,$B$4:$B$503,"&lt;&gt;"&amp;B167)&gt;0,COUNTIFS($A$4:$A$503,A167,$C$4:$C$503,"&lt;&gt;"&amp;C167)&gt;0,COUNTIFS($A$4:$A$503,A167,$D$4:$D$503,"&lt;&gt;"&amp;D167)&gt;0,COUNTIFS($A$4:$A$503,A167,$I$4:$I$503,"&lt;&gt;"&amp;I167)&gt;0,COUNTIFS($A$4:$A$503,A167,$J$4:$J$503,"&lt;&gt;"&amp;J167)&gt;0,COUNTIFS($A$4:$A$503,A167,$K$4:$K$503,"&lt;&gt;"&amp;K167)&gt;0,COUNTIFS($A$4:$A$503,A167,$L$4:$L$503,"&lt;&gt;"&amp;L167)&gt;0),"跨校题目配置不一致","通过")))))))</x:f>
      </x:c>
    </x:row>
    <x:row r="168" ht="22" customHeight="1">
      <x:c r="A168" s="70"/>
      <x:c r="B168" s="70"/>
      <x:c r="C168" s="28"/>
      <x:c r="D168" s="28"/>
      <x:c r="E168" s="70"/>
      <x:c r="F168" s="71" t="str">
        <x:f>IFERROR(INDEX('学校信息'!$F$4:$F$53,MATCH(E168,'学校信息'!$A$4:$A$53,0)),"")</x:f>
      </x:c>
      <x:c r="G168" s="71" t="str">
        <x:f>IFERROR(INDEX('学校信息'!$G$4:$G$53,MATCH(E168,'学校信息'!$A$4:$A$53,0)),"")</x:f>
      </x:c>
      <x:c r="H168" s="70"/>
      <x:c r="I168" s="70"/>
      <x:c r="J168" s="70"/>
      <x:c r="K168" s="28"/>
      <x:c r="L168" s="28"/>
      <x:c r="M168" s="60" t="str">
        <x:f>IF(COUNTA(A168:E168)+COUNTA(H168:L168)=0,"",IF(OR(A168="",B168="",C168="",D168="",E168="",H168="",I168="",J168="",K168="",L168=""),"缺少必填项",IF(OR(LEN(I168)&lt;&gt;64,LEN(J168)&lt;&gt;64),"SHA420长度应为64",IF(COUNTIF('学校信息'!$A$4:$A$53,E168)=0,"学校ID不存在",IF(COUNTIFS($E$4:$E$503,E168,$A$4:$A$503,A168)&gt;1,"同校全局题目ID重复",IF(COUNTIFS($E$4:$E$503,E168,$H$4:$H$503,H168)&gt;1,"同校本地PID重复",IF(OR(COUNTIFS($A$4:$A$503,A168,$B$4:$B$503,"&lt;&gt;"&amp;B168)&gt;0,COUNTIFS($A$4:$A$503,A168,$C$4:$C$503,"&lt;&gt;"&amp;C168)&gt;0,COUNTIFS($A$4:$A$503,A168,$D$4:$D$503,"&lt;&gt;"&amp;D168)&gt;0,COUNTIFS($A$4:$A$503,A168,$I$4:$I$503,"&lt;&gt;"&amp;I168)&gt;0,COUNTIFS($A$4:$A$503,A168,$J$4:$J$503,"&lt;&gt;"&amp;J168)&gt;0,COUNTIFS($A$4:$A$503,A168,$K$4:$K$503,"&lt;&gt;"&amp;K168)&gt;0,COUNTIFS($A$4:$A$503,A168,$L$4:$L$503,"&lt;&gt;"&amp;L168)&gt;0),"跨校题目配置不一致","通过")))))))</x:f>
      </x:c>
    </x:row>
    <x:row r="169" ht="22" customHeight="1">
      <x:c r="A169" s="70"/>
      <x:c r="B169" s="70"/>
      <x:c r="C169" s="28"/>
      <x:c r="D169" s="28"/>
      <x:c r="E169" s="70"/>
      <x:c r="F169" s="71" t="str">
        <x:f>IFERROR(INDEX('学校信息'!$F$4:$F$53,MATCH(E169,'学校信息'!$A$4:$A$53,0)),"")</x:f>
      </x:c>
      <x:c r="G169" s="71" t="str">
        <x:f>IFERROR(INDEX('学校信息'!$G$4:$G$53,MATCH(E169,'学校信息'!$A$4:$A$53,0)),"")</x:f>
      </x:c>
      <x:c r="H169" s="70"/>
      <x:c r="I169" s="70"/>
      <x:c r="J169" s="70"/>
      <x:c r="K169" s="28"/>
      <x:c r="L169" s="28"/>
      <x:c r="M169" s="60" t="str">
        <x:f>IF(COUNTA(A169:E169)+COUNTA(H169:L169)=0,"",IF(OR(A169="",B169="",C169="",D169="",E169="",H169="",I169="",J169="",K169="",L169=""),"缺少必填项",IF(OR(LEN(I169)&lt;&gt;64,LEN(J169)&lt;&gt;64),"SHA421长度应为64",IF(COUNTIF('学校信息'!$A$4:$A$53,E169)=0,"学校ID不存在",IF(COUNTIFS($E$4:$E$503,E169,$A$4:$A$503,A169)&gt;1,"同校全局题目ID重复",IF(COUNTIFS($E$4:$E$503,E169,$H$4:$H$503,H169)&gt;1,"同校本地PID重复",IF(OR(COUNTIFS($A$4:$A$503,A169,$B$4:$B$503,"&lt;&gt;"&amp;B169)&gt;0,COUNTIFS($A$4:$A$503,A169,$C$4:$C$503,"&lt;&gt;"&amp;C169)&gt;0,COUNTIFS($A$4:$A$503,A169,$D$4:$D$503,"&lt;&gt;"&amp;D169)&gt;0,COUNTIFS($A$4:$A$503,A169,$I$4:$I$503,"&lt;&gt;"&amp;I169)&gt;0,COUNTIFS($A$4:$A$503,A169,$J$4:$J$503,"&lt;&gt;"&amp;J169)&gt;0,COUNTIFS($A$4:$A$503,A169,$K$4:$K$503,"&lt;&gt;"&amp;K169)&gt;0,COUNTIFS($A$4:$A$503,A169,$L$4:$L$503,"&lt;&gt;"&amp;L169)&gt;0),"跨校题目配置不一致","通过")))))))</x:f>
      </x:c>
    </x:row>
    <x:row r="170" ht="22" customHeight="1">
      <x:c r="A170" s="70"/>
      <x:c r="B170" s="70"/>
      <x:c r="C170" s="28"/>
      <x:c r="D170" s="28"/>
      <x:c r="E170" s="70"/>
      <x:c r="F170" s="71" t="str">
        <x:f>IFERROR(INDEX('学校信息'!$F$4:$F$53,MATCH(E170,'学校信息'!$A$4:$A$53,0)),"")</x:f>
      </x:c>
      <x:c r="G170" s="71" t="str">
        <x:f>IFERROR(INDEX('学校信息'!$G$4:$G$53,MATCH(E170,'学校信息'!$A$4:$A$53,0)),"")</x:f>
      </x:c>
      <x:c r="H170" s="70"/>
      <x:c r="I170" s="70"/>
      <x:c r="J170" s="70"/>
      <x:c r="K170" s="28"/>
      <x:c r="L170" s="28"/>
      <x:c r="M170" s="60" t="str">
        <x:f>IF(COUNTA(A170:E170)+COUNTA(H170:L170)=0,"",IF(OR(A170="",B170="",C170="",D170="",E170="",H170="",I170="",J170="",K170="",L170=""),"缺少必填项",IF(OR(LEN(I170)&lt;&gt;64,LEN(J170)&lt;&gt;64),"SHA422长度应为64",IF(COUNTIF('学校信息'!$A$4:$A$53,E170)=0,"学校ID不存在",IF(COUNTIFS($E$4:$E$503,E170,$A$4:$A$503,A170)&gt;1,"同校全局题目ID重复",IF(COUNTIFS($E$4:$E$503,E170,$H$4:$H$503,H170)&gt;1,"同校本地PID重复",IF(OR(COUNTIFS($A$4:$A$503,A170,$B$4:$B$503,"&lt;&gt;"&amp;B170)&gt;0,COUNTIFS($A$4:$A$503,A170,$C$4:$C$503,"&lt;&gt;"&amp;C170)&gt;0,COUNTIFS($A$4:$A$503,A170,$D$4:$D$503,"&lt;&gt;"&amp;D170)&gt;0,COUNTIFS($A$4:$A$503,A170,$I$4:$I$503,"&lt;&gt;"&amp;I170)&gt;0,COUNTIFS($A$4:$A$503,A170,$J$4:$J$503,"&lt;&gt;"&amp;J170)&gt;0,COUNTIFS($A$4:$A$503,A170,$K$4:$K$503,"&lt;&gt;"&amp;K170)&gt;0,COUNTIFS($A$4:$A$503,A170,$L$4:$L$503,"&lt;&gt;"&amp;L170)&gt;0),"跨校题目配置不一致","通过")))))))</x:f>
      </x:c>
    </x:row>
    <x:row r="171" ht="22" customHeight="1">
      <x:c r="A171" s="70"/>
      <x:c r="B171" s="70"/>
      <x:c r="C171" s="28"/>
      <x:c r="D171" s="28"/>
      <x:c r="E171" s="70"/>
      <x:c r="F171" s="71" t="str">
        <x:f>IFERROR(INDEX('学校信息'!$F$4:$F$53,MATCH(E171,'学校信息'!$A$4:$A$53,0)),"")</x:f>
      </x:c>
      <x:c r="G171" s="71" t="str">
        <x:f>IFERROR(INDEX('学校信息'!$G$4:$G$53,MATCH(E171,'学校信息'!$A$4:$A$53,0)),"")</x:f>
      </x:c>
      <x:c r="H171" s="70"/>
      <x:c r="I171" s="70"/>
      <x:c r="J171" s="70"/>
      <x:c r="K171" s="28"/>
      <x:c r="L171" s="28"/>
      <x:c r="M171" s="60" t="str">
        <x:f>IF(COUNTA(A171:E171)+COUNTA(H171:L171)=0,"",IF(OR(A171="",B171="",C171="",D171="",E171="",H171="",I171="",J171="",K171="",L171=""),"缺少必填项",IF(OR(LEN(I171)&lt;&gt;64,LEN(J171)&lt;&gt;64),"SHA423长度应为64",IF(COUNTIF('学校信息'!$A$4:$A$53,E171)=0,"学校ID不存在",IF(COUNTIFS($E$4:$E$503,E171,$A$4:$A$503,A171)&gt;1,"同校全局题目ID重复",IF(COUNTIFS($E$4:$E$503,E171,$H$4:$H$503,H171)&gt;1,"同校本地PID重复",IF(OR(COUNTIFS($A$4:$A$503,A171,$B$4:$B$503,"&lt;&gt;"&amp;B171)&gt;0,COUNTIFS($A$4:$A$503,A171,$C$4:$C$503,"&lt;&gt;"&amp;C171)&gt;0,COUNTIFS($A$4:$A$503,A171,$D$4:$D$503,"&lt;&gt;"&amp;D171)&gt;0,COUNTIFS($A$4:$A$503,A171,$I$4:$I$503,"&lt;&gt;"&amp;I171)&gt;0,COUNTIFS($A$4:$A$503,A171,$J$4:$J$503,"&lt;&gt;"&amp;J171)&gt;0,COUNTIFS($A$4:$A$503,A171,$K$4:$K$503,"&lt;&gt;"&amp;K171)&gt;0,COUNTIFS($A$4:$A$503,A171,$L$4:$L$503,"&lt;&gt;"&amp;L171)&gt;0),"跨校题目配置不一致","通过")))))))</x:f>
      </x:c>
    </x:row>
    <x:row r="172" ht="22" customHeight="1">
      <x:c r="A172" s="70"/>
      <x:c r="B172" s="70"/>
      <x:c r="C172" s="28"/>
      <x:c r="D172" s="28"/>
      <x:c r="E172" s="70"/>
      <x:c r="F172" s="71" t="str">
        <x:f>IFERROR(INDEX('学校信息'!$F$4:$F$53,MATCH(E172,'学校信息'!$A$4:$A$53,0)),"")</x:f>
      </x:c>
      <x:c r="G172" s="71" t="str">
        <x:f>IFERROR(INDEX('学校信息'!$G$4:$G$53,MATCH(E172,'学校信息'!$A$4:$A$53,0)),"")</x:f>
      </x:c>
      <x:c r="H172" s="70"/>
      <x:c r="I172" s="70"/>
      <x:c r="J172" s="70"/>
      <x:c r="K172" s="28"/>
      <x:c r="L172" s="28"/>
      <x:c r="M172" s="60" t="str">
        <x:f>IF(COUNTA(A172:E172)+COUNTA(H172:L172)=0,"",IF(OR(A172="",B172="",C172="",D172="",E172="",H172="",I172="",J172="",K172="",L172=""),"缺少必填项",IF(OR(LEN(I172)&lt;&gt;64,LEN(J172)&lt;&gt;64),"SHA424长度应为64",IF(COUNTIF('学校信息'!$A$4:$A$53,E172)=0,"学校ID不存在",IF(COUNTIFS($E$4:$E$503,E172,$A$4:$A$503,A172)&gt;1,"同校全局题目ID重复",IF(COUNTIFS($E$4:$E$503,E172,$H$4:$H$503,H172)&gt;1,"同校本地PID重复",IF(OR(COUNTIFS($A$4:$A$503,A172,$B$4:$B$503,"&lt;&gt;"&amp;B172)&gt;0,COUNTIFS($A$4:$A$503,A172,$C$4:$C$503,"&lt;&gt;"&amp;C172)&gt;0,COUNTIFS($A$4:$A$503,A172,$D$4:$D$503,"&lt;&gt;"&amp;D172)&gt;0,COUNTIFS($A$4:$A$503,A172,$I$4:$I$503,"&lt;&gt;"&amp;I172)&gt;0,COUNTIFS($A$4:$A$503,A172,$J$4:$J$503,"&lt;&gt;"&amp;J172)&gt;0,COUNTIFS($A$4:$A$503,A172,$K$4:$K$503,"&lt;&gt;"&amp;K172)&gt;0,COUNTIFS($A$4:$A$503,A172,$L$4:$L$503,"&lt;&gt;"&amp;L172)&gt;0),"跨校题目配置不一致","通过")))))))</x:f>
      </x:c>
    </x:row>
    <x:row r="173" ht="22" customHeight="1">
      <x:c r="A173" s="70"/>
      <x:c r="B173" s="70"/>
      <x:c r="C173" s="28"/>
      <x:c r="D173" s="28"/>
      <x:c r="E173" s="70"/>
      <x:c r="F173" s="71" t="str">
        <x:f>IFERROR(INDEX('学校信息'!$F$4:$F$53,MATCH(E173,'学校信息'!$A$4:$A$53,0)),"")</x:f>
      </x:c>
      <x:c r="G173" s="71" t="str">
        <x:f>IFERROR(INDEX('学校信息'!$G$4:$G$53,MATCH(E173,'学校信息'!$A$4:$A$53,0)),"")</x:f>
      </x:c>
      <x:c r="H173" s="70"/>
      <x:c r="I173" s="70"/>
      <x:c r="J173" s="70"/>
      <x:c r="K173" s="28"/>
      <x:c r="L173" s="28"/>
      <x:c r="M173" s="60" t="str">
        <x:f>IF(COUNTA(A173:E173)+COUNTA(H173:L173)=0,"",IF(OR(A173="",B173="",C173="",D173="",E173="",H173="",I173="",J173="",K173="",L173=""),"缺少必填项",IF(OR(LEN(I173)&lt;&gt;64,LEN(J173)&lt;&gt;64),"SHA425长度应为64",IF(COUNTIF('学校信息'!$A$4:$A$53,E173)=0,"学校ID不存在",IF(COUNTIFS($E$4:$E$503,E173,$A$4:$A$503,A173)&gt;1,"同校全局题目ID重复",IF(COUNTIFS($E$4:$E$503,E173,$H$4:$H$503,H173)&gt;1,"同校本地PID重复",IF(OR(COUNTIFS($A$4:$A$503,A173,$B$4:$B$503,"&lt;&gt;"&amp;B173)&gt;0,COUNTIFS($A$4:$A$503,A173,$C$4:$C$503,"&lt;&gt;"&amp;C173)&gt;0,COUNTIFS($A$4:$A$503,A173,$D$4:$D$503,"&lt;&gt;"&amp;D173)&gt;0,COUNTIFS($A$4:$A$503,A173,$I$4:$I$503,"&lt;&gt;"&amp;I173)&gt;0,COUNTIFS($A$4:$A$503,A173,$J$4:$J$503,"&lt;&gt;"&amp;J173)&gt;0,COUNTIFS($A$4:$A$503,A173,$K$4:$K$503,"&lt;&gt;"&amp;K173)&gt;0,COUNTIFS($A$4:$A$503,A173,$L$4:$L$503,"&lt;&gt;"&amp;L173)&gt;0),"跨校题目配置不一致","通过")))))))</x:f>
      </x:c>
    </x:row>
    <x:row r="174" ht="22" customHeight="1">
      <x:c r="A174" s="70"/>
      <x:c r="B174" s="70"/>
      <x:c r="C174" s="28"/>
      <x:c r="D174" s="28"/>
      <x:c r="E174" s="70"/>
      <x:c r="F174" s="71" t="str">
        <x:f>IFERROR(INDEX('学校信息'!$F$4:$F$53,MATCH(E174,'学校信息'!$A$4:$A$53,0)),"")</x:f>
      </x:c>
      <x:c r="G174" s="71" t="str">
        <x:f>IFERROR(INDEX('学校信息'!$G$4:$G$53,MATCH(E174,'学校信息'!$A$4:$A$53,0)),"")</x:f>
      </x:c>
      <x:c r="H174" s="70"/>
      <x:c r="I174" s="70"/>
      <x:c r="J174" s="70"/>
      <x:c r="K174" s="28"/>
      <x:c r="L174" s="28"/>
      <x:c r="M174" s="60" t="str">
        <x:f>IF(COUNTA(A174:E174)+COUNTA(H174:L174)=0,"",IF(OR(A174="",B174="",C174="",D174="",E174="",H174="",I174="",J174="",K174="",L174=""),"缺少必填项",IF(OR(LEN(I174)&lt;&gt;64,LEN(J174)&lt;&gt;64),"SHA426长度应为64",IF(COUNTIF('学校信息'!$A$4:$A$53,E174)=0,"学校ID不存在",IF(COUNTIFS($E$4:$E$503,E174,$A$4:$A$503,A174)&gt;1,"同校全局题目ID重复",IF(COUNTIFS($E$4:$E$503,E174,$H$4:$H$503,H174)&gt;1,"同校本地PID重复",IF(OR(COUNTIFS($A$4:$A$503,A174,$B$4:$B$503,"&lt;&gt;"&amp;B174)&gt;0,COUNTIFS($A$4:$A$503,A174,$C$4:$C$503,"&lt;&gt;"&amp;C174)&gt;0,COUNTIFS($A$4:$A$503,A174,$D$4:$D$503,"&lt;&gt;"&amp;D174)&gt;0,COUNTIFS($A$4:$A$503,A174,$I$4:$I$503,"&lt;&gt;"&amp;I174)&gt;0,COUNTIFS($A$4:$A$503,A174,$J$4:$J$503,"&lt;&gt;"&amp;J174)&gt;0,COUNTIFS($A$4:$A$503,A174,$K$4:$K$503,"&lt;&gt;"&amp;K174)&gt;0,COUNTIFS($A$4:$A$503,A174,$L$4:$L$503,"&lt;&gt;"&amp;L174)&gt;0),"跨校题目配置不一致","通过")))))))</x:f>
      </x:c>
    </x:row>
    <x:row r="175" ht="22" customHeight="1">
      <x:c r="A175" s="70"/>
      <x:c r="B175" s="70"/>
      <x:c r="C175" s="28"/>
      <x:c r="D175" s="28"/>
      <x:c r="E175" s="70"/>
      <x:c r="F175" s="71" t="str">
        <x:f>IFERROR(INDEX('学校信息'!$F$4:$F$53,MATCH(E175,'学校信息'!$A$4:$A$53,0)),"")</x:f>
      </x:c>
      <x:c r="G175" s="71" t="str">
        <x:f>IFERROR(INDEX('学校信息'!$G$4:$G$53,MATCH(E175,'学校信息'!$A$4:$A$53,0)),"")</x:f>
      </x:c>
      <x:c r="H175" s="70"/>
      <x:c r="I175" s="70"/>
      <x:c r="J175" s="70"/>
      <x:c r="K175" s="28"/>
      <x:c r="L175" s="28"/>
      <x:c r="M175" s="60" t="str">
        <x:f>IF(COUNTA(A175:E175)+COUNTA(H175:L175)=0,"",IF(OR(A175="",B175="",C175="",D175="",E175="",H175="",I175="",J175="",K175="",L175=""),"缺少必填项",IF(OR(LEN(I175)&lt;&gt;64,LEN(J175)&lt;&gt;64),"SHA427长度应为64",IF(COUNTIF('学校信息'!$A$4:$A$53,E175)=0,"学校ID不存在",IF(COUNTIFS($E$4:$E$503,E175,$A$4:$A$503,A175)&gt;1,"同校全局题目ID重复",IF(COUNTIFS($E$4:$E$503,E175,$H$4:$H$503,H175)&gt;1,"同校本地PID重复",IF(OR(COUNTIFS($A$4:$A$503,A175,$B$4:$B$503,"&lt;&gt;"&amp;B175)&gt;0,COUNTIFS($A$4:$A$503,A175,$C$4:$C$503,"&lt;&gt;"&amp;C175)&gt;0,COUNTIFS($A$4:$A$503,A175,$D$4:$D$503,"&lt;&gt;"&amp;D175)&gt;0,COUNTIFS($A$4:$A$503,A175,$I$4:$I$503,"&lt;&gt;"&amp;I175)&gt;0,COUNTIFS($A$4:$A$503,A175,$J$4:$J$503,"&lt;&gt;"&amp;J175)&gt;0,COUNTIFS($A$4:$A$503,A175,$K$4:$K$503,"&lt;&gt;"&amp;K175)&gt;0,COUNTIFS($A$4:$A$503,A175,$L$4:$L$503,"&lt;&gt;"&amp;L175)&gt;0),"跨校题目配置不一致","通过")))))))</x:f>
      </x:c>
    </x:row>
    <x:row r="176" ht="22" customHeight="1">
      <x:c r="A176" s="70"/>
      <x:c r="B176" s="70"/>
      <x:c r="C176" s="28"/>
      <x:c r="D176" s="28"/>
      <x:c r="E176" s="70"/>
      <x:c r="F176" s="71" t="str">
        <x:f>IFERROR(INDEX('学校信息'!$F$4:$F$53,MATCH(E176,'学校信息'!$A$4:$A$53,0)),"")</x:f>
      </x:c>
      <x:c r="G176" s="71" t="str">
        <x:f>IFERROR(INDEX('学校信息'!$G$4:$G$53,MATCH(E176,'学校信息'!$A$4:$A$53,0)),"")</x:f>
      </x:c>
      <x:c r="H176" s="70"/>
      <x:c r="I176" s="70"/>
      <x:c r="J176" s="70"/>
      <x:c r="K176" s="28"/>
      <x:c r="L176" s="28"/>
      <x:c r="M176" s="60" t="str">
        <x:f>IF(COUNTA(A176:E176)+COUNTA(H176:L176)=0,"",IF(OR(A176="",B176="",C176="",D176="",E176="",H176="",I176="",J176="",K176="",L176=""),"缺少必填项",IF(OR(LEN(I176)&lt;&gt;64,LEN(J176)&lt;&gt;64),"SHA428长度应为64",IF(COUNTIF('学校信息'!$A$4:$A$53,E176)=0,"学校ID不存在",IF(COUNTIFS($E$4:$E$503,E176,$A$4:$A$503,A176)&gt;1,"同校全局题目ID重复",IF(COUNTIFS($E$4:$E$503,E176,$H$4:$H$503,H176)&gt;1,"同校本地PID重复",IF(OR(COUNTIFS($A$4:$A$503,A176,$B$4:$B$503,"&lt;&gt;"&amp;B176)&gt;0,COUNTIFS($A$4:$A$503,A176,$C$4:$C$503,"&lt;&gt;"&amp;C176)&gt;0,COUNTIFS($A$4:$A$503,A176,$D$4:$D$503,"&lt;&gt;"&amp;D176)&gt;0,COUNTIFS($A$4:$A$503,A176,$I$4:$I$503,"&lt;&gt;"&amp;I176)&gt;0,COUNTIFS($A$4:$A$503,A176,$J$4:$J$503,"&lt;&gt;"&amp;J176)&gt;0,COUNTIFS($A$4:$A$503,A176,$K$4:$K$503,"&lt;&gt;"&amp;K176)&gt;0,COUNTIFS($A$4:$A$503,A176,$L$4:$L$503,"&lt;&gt;"&amp;L176)&gt;0),"跨校题目配置不一致","通过")))))))</x:f>
      </x:c>
    </x:row>
    <x:row r="177" ht="22" customHeight="1">
      <x:c r="A177" s="70"/>
      <x:c r="B177" s="70"/>
      <x:c r="C177" s="28"/>
      <x:c r="D177" s="28"/>
      <x:c r="E177" s="70"/>
      <x:c r="F177" s="71" t="str">
        <x:f>IFERROR(INDEX('学校信息'!$F$4:$F$53,MATCH(E177,'学校信息'!$A$4:$A$53,0)),"")</x:f>
      </x:c>
      <x:c r="G177" s="71" t="str">
        <x:f>IFERROR(INDEX('学校信息'!$G$4:$G$53,MATCH(E177,'学校信息'!$A$4:$A$53,0)),"")</x:f>
      </x:c>
      <x:c r="H177" s="70"/>
      <x:c r="I177" s="70"/>
      <x:c r="J177" s="70"/>
      <x:c r="K177" s="28"/>
      <x:c r="L177" s="28"/>
      <x:c r="M177" s="60" t="str">
        <x:f>IF(COUNTA(A177:E177)+COUNTA(H177:L177)=0,"",IF(OR(A177="",B177="",C177="",D177="",E177="",H177="",I177="",J177="",K177="",L177=""),"缺少必填项",IF(OR(LEN(I177)&lt;&gt;64,LEN(J177)&lt;&gt;64),"SHA429长度应为64",IF(COUNTIF('学校信息'!$A$4:$A$53,E177)=0,"学校ID不存在",IF(COUNTIFS($E$4:$E$503,E177,$A$4:$A$503,A177)&gt;1,"同校全局题目ID重复",IF(COUNTIFS($E$4:$E$503,E177,$H$4:$H$503,H177)&gt;1,"同校本地PID重复",IF(OR(COUNTIFS($A$4:$A$503,A177,$B$4:$B$503,"&lt;&gt;"&amp;B177)&gt;0,COUNTIFS($A$4:$A$503,A177,$C$4:$C$503,"&lt;&gt;"&amp;C177)&gt;0,COUNTIFS($A$4:$A$503,A177,$D$4:$D$503,"&lt;&gt;"&amp;D177)&gt;0,COUNTIFS($A$4:$A$503,A177,$I$4:$I$503,"&lt;&gt;"&amp;I177)&gt;0,COUNTIFS($A$4:$A$503,A177,$J$4:$J$503,"&lt;&gt;"&amp;J177)&gt;0,COUNTIFS($A$4:$A$503,A177,$K$4:$K$503,"&lt;&gt;"&amp;K177)&gt;0,COUNTIFS($A$4:$A$503,A177,$L$4:$L$503,"&lt;&gt;"&amp;L177)&gt;0),"跨校题目配置不一致","通过")))))))</x:f>
      </x:c>
    </x:row>
    <x:row r="178" ht="22" customHeight="1">
      <x:c r="A178" s="70"/>
      <x:c r="B178" s="70"/>
      <x:c r="C178" s="28"/>
      <x:c r="D178" s="28"/>
      <x:c r="E178" s="70"/>
      <x:c r="F178" s="71" t="str">
        <x:f>IFERROR(INDEX('学校信息'!$F$4:$F$53,MATCH(E178,'学校信息'!$A$4:$A$53,0)),"")</x:f>
      </x:c>
      <x:c r="G178" s="71" t="str">
        <x:f>IFERROR(INDEX('学校信息'!$G$4:$G$53,MATCH(E178,'学校信息'!$A$4:$A$53,0)),"")</x:f>
      </x:c>
      <x:c r="H178" s="70"/>
      <x:c r="I178" s="70"/>
      <x:c r="J178" s="70"/>
      <x:c r="K178" s="28"/>
      <x:c r="L178" s="28"/>
      <x:c r="M178" s="60" t="str">
        <x:f>IF(COUNTA(A178:E178)+COUNTA(H178:L178)=0,"",IF(OR(A178="",B178="",C178="",D178="",E178="",H178="",I178="",J178="",K178="",L178=""),"缺少必填项",IF(OR(LEN(I178)&lt;&gt;64,LEN(J178)&lt;&gt;64),"SHA430长度应为64",IF(COUNTIF('学校信息'!$A$4:$A$53,E178)=0,"学校ID不存在",IF(COUNTIFS($E$4:$E$503,E178,$A$4:$A$503,A178)&gt;1,"同校全局题目ID重复",IF(COUNTIFS($E$4:$E$503,E178,$H$4:$H$503,H178)&gt;1,"同校本地PID重复",IF(OR(COUNTIFS($A$4:$A$503,A178,$B$4:$B$503,"&lt;&gt;"&amp;B178)&gt;0,COUNTIFS($A$4:$A$503,A178,$C$4:$C$503,"&lt;&gt;"&amp;C178)&gt;0,COUNTIFS($A$4:$A$503,A178,$D$4:$D$503,"&lt;&gt;"&amp;D178)&gt;0,COUNTIFS($A$4:$A$503,A178,$I$4:$I$503,"&lt;&gt;"&amp;I178)&gt;0,COUNTIFS($A$4:$A$503,A178,$J$4:$J$503,"&lt;&gt;"&amp;J178)&gt;0,COUNTIFS($A$4:$A$503,A178,$K$4:$K$503,"&lt;&gt;"&amp;K178)&gt;0,COUNTIFS($A$4:$A$503,A178,$L$4:$L$503,"&lt;&gt;"&amp;L178)&gt;0),"跨校题目配置不一致","通过")))))))</x:f>
      </x:c>
    </x:row>
    <x:row r="179" ht="22" customHeight="1">
      <x:c r="A179" s="70"/>
      <x:c r="B179" s="70"/>
      <x:c r="C179" s="28"/>
      <x:c r="D179" s="28"/>
      <x:c r="E179" s="70"/>
      <x:c r="F179" s="71" t="str">
        <x:f>IFERROR(INDEX('学校信息'!$F$4:$F$53,MATCH(E179,'学校信息'!$A$4:$A$53,0)),"")</x:f>
      </x:c>
      <x:c r="G179" s="71" t="str">
        <x:f>IFERROR(INDEX('学校信息'!$G$4:$G$53,MATCH(E179,'学校信息'!$A$4:$A$53,0)),"")</x:f>
      </x:c>
      <x:c r="H179" s="70"/>
      <x:c r="I179" s="70"/>
      <x:c r="J179" s="70"/>
      <x:c r="K179" s="28"/>
      <x:c r="L179" s="28"/>
      <x:c r="M179" s="60" t="str">
        <x:f>IF(COUNTA(A179:E179)+COUNTA(H179:L179)=0,"",IF(OR(A179="",B179="",C179="",D179="",E179="",H179="",I179="",J179="",K179="",L179=""),"缺少必填项",IF(OR(LEN(I179)&lt;&gt;64,LEN(J179)&lt;&gt;64),"SHA431长度应为64",IF(COUNTIF('学校信息'!$A$4:$A$53,E179)=0,"学校ID不存在",IF(COUNTIFS($E$4:$E$503,E179,$A$4:$A$503,A179)&gt;1,"同校全局题目ID重复",IF(COUNTIFS($E$4:$E$503,E179,$H$4:$H$503,H179)&gt;1,"同校本地PID重复",IF(OR(COUNTIFS($A$4:$A$503,A179,$B$4:$B$503,"&lt;&gt;"&amp;B179)&gt;0,COUNTIFS($A$4:$A$503,A179,$C$4:$C$503,"&lt;&gt;"&amp;C179)&gt;0,COUNTIFS($A$4:$A$503,A179,$D$4:$D$503,"&lt;&gt;"&amp;D179)&gt;0,COUNTIFS($A$4:$A$503,A179,$I$4:$I$503,"&lt;&gt;"&amp;I179)&gt;0,COUNTIFS($A$4:$A$503,A179,$J$4:$J$503,"&lt;&gt;"&amp;J179)&gt;0,COUNTIFS($A$4:$A$503,A179,$K$4:$K$503,"&lt;&gt;"&amp;K179)&gt;0,COUNTIFS($A$4:$A$503,A179,$L$4:$L$503,"&lt;&gt;"&amp;L179)&gt;0),"跨校题目配置不一致","通过")))))))</x:f>
      </x:c>
    </x:row>
    <x:row r="180" ht="22" customHeight="1">
      <x:c r="A180" s="70"/>
      <x:c r="B180" s="70"/>
      <x:c r="C180" s="28"/>
      <x:c r="D180" s="28"/>
      <x:c r="E180" s="70"/>
      <x:c r="F180" s="71" t="str">
        <x:f>IFERROR(INDEX('学校信息'!$F$4:$F$53,MATCH(E180,'学校信息'!$A$4:$A$53,0)),"")</x:f>
      </x:c>
      <x:c r="G180" s="71" t="str">
        <x:f>IFERROR(INDEX('学校信息'!$G$4:$G$53,MATCH(E180,'学校信息'!$A$4:$A$53,0)),"")</x:f>
      </x:c>
      <x:c r="H180" s="70"/>
      <x:c r="I180" s="70"/>
      <x:c r="J180" s="70"/>
      <x:c r="K180" s="28"/>
      <x:c r="L180" s="28"/>
      <x:c r="M180" s="60" t="str">
        <x:f>IF(COUNTA(A180:E180)+COUNTA(H180:L180)=0,"",IF(OR(A180="",B180="",C180="",D180="",E180="",H180="",I180="",J180="",K180="",L180=""),"缺少必填项",IF(OR(LEN(I180)&lt;&gt;64,LEN(J180)&lt;&gt;64),"SHA432长度应为64",IF(COUNTIF('学校信息'!$A$4:$A$53,E180)=0,"学校ID不存在",IF(COUNTIFS($E$4:$E$503,E180,$A$4:$A$503,A180)&gt;1,"同校全局题目ID重复",IF(COUNTIFS($E$4:$E$503,E180,$H$4:$H$503,H180)&gt;1,"同校本地PID重复",IF(OR(COUNTIFS($A$4:$A$503,A180,$B$4:$B$503,"&lt;&gt;"&amp;B180)&gt;0,COUNTIFS($A$4:$A$503,A180,$C$4:$C$503,"&lt;&gt;"&amp;C180)&gt;0,COUNTIFS($A$4:$A$503,A180,$D$4:$D$503,"&lt;&gt;"&amp;D180)&gt;0,COUNTIFS($A$4:$A$503,A180,$I$4:$I$503,"&lt;&gt;"&amp;I180)&gt;0,COUNTIFS($A$4:$A$503,A180,$J$4:$J$503,"&lt;&gt;"&amp;J180)&gt;0,COUNTIFS($A$4:$A$503,A180,$K$4:$K$503,"&lt;&gt;"&amp;K180)&gt;0,COUNTIFS($A$4:$A$503,A180,$L$4:$L$503,"&lt;&gt;"&amp;L180)&gt;0),"跨校题目配置不一致","通过")))))))</x:f>
      </x:c>
    </x:row>
    <x:row r="181" ht="22" customHeight="1">
      <x:c r="A181" s="70"/>
      <x:c r="B181" s="70"/>
      <x:c r="C181" s="28"/>
      <x:c r="D181" s="28"/>
      <x:c r="E181" s="70"/>
      <x:c r="F181" s="71" t="str">
        <x:f>IFERROR(INDEX('学校信息'!$F$4:$F$53,MATCH(E181,'学校信息'!$A$4:$A$53,0)),"")</x:f>
      </x:c>
      <x:c r="G181" s="71" t="str">
        <x:f>IFERROR(INDEX('学校信息'!$G$4:$G$53,MATCH(E181,'学校信息'!$A$4:$A$53,0)),"")</x:f>
      </x:c>
      <x:c r="H181" s="70"/>
      <x:c r="I181" s="70"/>
      <x:c r="J181" s="70"/>
      <x:c r="K181" s="28"/>
      <x:c r="L181" s="28"/>
      <x:c r="M181" s="60" t="str">
        <x:f>IF(COUNTA(A181:E181)+COUNTA(H181:L181)=0,"",IF(OR(A181="",B181="",C181="",D181="",E181="",H181="",I181="",J181="",K181="",L181=""),"缺少必填项",IF(OR(LEN(I181)&lt;&gt;64,LEN(J181)&lt;&gt;64),"SHA433长度应为64",IF(COUNTIF('学校信息'!$A$4:$A$53,E181)=0,"学校ID不存在",IF(COUNTIFS($E$4:$E$503,E181,$A$4:$A$503,A181)&gt;1,"同校全局题目ID重复",IF(COUNTIFS($E$4:$E$503,E181,$H$4:$H$503,H181)&gt;1,"同校本地PID重复",IF(OR(COUNTIFS($A$4:$A$503,A181,$B$4:$B$503,"&lt;&gt;"&amp;B181)&gt;0,COUNTIFS($A$4:$A$503,A181,$C$4:$C$503,"&lt;&gt;"&amp;C181)&gt;0,COUNTIFS($A$4:$A$503,A181,$D$4:$D$503,"&lt;&gt;"&amp;D181)&gt;0,COUNTIFS($A$4:$A$503,A181,$I$4:$I$503,"&lt;&gt;"&amp;I181)&gt;0,COUNTIFS($A$4:$A$503,A181,$J$4:$J$503,"&lt;&gt;"&amp;J181)&gt;0,COUNTIFS($A$4:$A$503,A181,$K$4:$K$503,"&lt;&gt;"&amp;K181)&gt;0,COUNTIFS($A$4:$A$503,A181,$L$4:$L$503,"&lt;&gt;"&amp;L181)&gt;0),"跨校题目配置不一致","通过")))))))</x:f>
      </x:c>
    </x:row>
    <x:row r="182" ht="22" customHeight="1">
      <x:c r="A182" s="70"/>
      <x:c r="B182" s="70"/>
      <x:c r="C182" s="28"/>
      <x:c r="D182" s="28"/>
      <x:c r="E182" s="70"/>
      <x:c r="F182" s="71" t="str">
        <x:f>IFERROR(INDEX('学校信息'!$F$4:$F$53,MATCH(E182,'学校信息'!$A$4:$A$53,0)),"")</x:f>
      </x:c>
      <x:c r="G182" s="71" t="str">
        <x:f>IFERROR(INDEX('学校信息'!$G$4:$G$53,MATCH(E182,'学校信息'!$A$4:$A$53,0)),"")</x:f>
      </x:c>
      <x:c r="H182" s="70"/>
      <x:c r="I182" s="70"/>
      <x:c r="J182" s="70"/>
      <x:c r="K182" s="28"/>
      <x:c r="L182" s="28"/>
      <x:c r="M182" s="60" t="str">
        <x:f>IF(COUNTA(A182:E182)+COUNTA(H182:L182)=0,"",IF(OR(A182="",B182="",C182="",D182="",E182="",H182="",I182="",J182="",K182="",L182=""),"缺少必填项",IF(OR(LEN(I182)&lt;&gt;64,LEN(J182)&lt;&gt;64),"SHA434长度应为64",IF(COUNTIF('学校信息'!$A$4:$A$53,E182)=0,"学校ID不存在",IF(COUNTIFS($E$4:$E$503,E182,$A$4:$A$503,A182)&gt;1,"同校全局题目ID重复",IF(COUNTIFS($E$4:$E$503,E182,$H$4:$H$503,H182)&gt;1,"同校本地PID重复",IF(OR(COUNTIFS($A$4:$A$503,A182,$B$4:$B$503,"&lt;&gt;"&amp;B182)&gt;0,COUNTIFS($A$4:$A$503,A182,$C$4:$C$503,"&lt;&gt;"&amp;C182)&gt;0,COUNTIFS($A$4:$A$503,A182,$D$4:$D$503,"&lt;&gt;"&amp;D182)&gt;0,COUNTIFS($A$4:$A$503,A182,$I$4:$I$503,"&lt;&gt;"&amp;I182)&gt;0,COUNTIFS($A$4:$A$503,A182,$J$4:$J$503,"&lt;&gt;"&amp;J182)&gt;0,COUNTIFS($A$4:$A$503,A182,$K$4:$K$503,"&lt;&gt;"&amp;K182)&gt;0,COUNTIFS($A$4:$A$503,A182,$L$4:$L$503,"&lt;&gt;"&amp;L182)&gt;0),"跨校题目配置不一致","通过")))))))</x:f>
      </x:c>
    </x:row>
    <x:row r="183" ht="22" customHeight="1">
      <x:c r="A183" s="70"/>
      <x:c r="B183" s="70"/>
      <x:c r="C183" s="28"/>
      <x:c r="D183" s="28"/>
      <x:c r="E183" s="70"/>
      <x:c r="F183" s="71" t="str">
        <x:f>IFERROR(INDEX('学校信息'!$F$4:$F$53,MATCH(E183,'学校信息'!$A$4:$A$53,0)),"")</x:f>
      </x:c>
      <x:c r="G183" s="71" t="str">
        <x:f>IFERROR(INDEX('学校信息'!$G$4:$G$53,MATCH(E183,'学校信息'!$A$4:$A$53,0)),"")</x:f>
      </x:c>
      <x:c r="H183" s="70"/>
      <x:c r="I183" s="70"/>
      <x:c r="J183" s="70"/>
      <x:c r="K183" s="28"/>
      <x:c r="L183" s="28"/>
      <x:c r="M183" s="60" t="str">
        <x:f>IF(COUNTA(A183:E183)+COUNTA(H183:L183)=0,"",IF(OR(A183="",B183="",C183="",D183="",E183="",H183="",I183="",J183="",K183="",L183=""),"缺少必填项",IF(OR(LEN(I183)&lt;&gt;64,LEN(J183)&lt;&gt;64),"SHA435长度应为64",IF(COUNTIF('学校信息'!$A$4:$A$53,E183)=0,"学校ID不存在",IF(COUNTIFS($E$4:$E$503,E183,$A$4:$A$503,A183)&gt;1,"同校全局题目ID重复",IF(COUNTIFS($E$4:$E$503,E183,$H$4:$H$503,H183)&gt;1,"同校本地PID重复",IF(OR(COUNTIFS($A$4:$A$503,A183,$B$4:$B$503,"&lt;&gt;"&amp;B183)&gt;0,COUNTIFS($A$4:$A$503,A183,$C$4:$C$503,"&lt;&gt;"&amp;C183)&gt;0,COUNTIFS($A$4:$A$503,A183,$D$4:$D$503,"&lt;&gt;"&amp;D183)&gt;0,COUNTIFS($A$4:$A$503,A183,$I$4:$I$503,"&lt;&gt;"&amp;I183)&gt;0,COUNTIFS($A$4:$A$503,A183,$J$4:$J$503,"&lt;&gt;"&amp;J183)&gt;0,COUNTIFS($A$4:$A$503,A183,$K$4:$K$503,"&lt;&gt;"&amp;K183)&gt;0,COUNTIFS($A$4:$A$503,A183,$L$4:$L$503,"&lt;&gt;"&amp;L183)&gt;0),"跨校题目配置不一致","通过")))))))</x:f>
      </x:c>
    </x:row>
    <x:row r="184" ht="22" customHeight="1">
      <x:c r="A184" s="70"/>
      <x:c r="B184" s="70"/>
      <x:c r="C184" s="28"/>
      <x:c r="D184" s="28"/>
      <x:c r="E184" s="70"/>
      <x:c r="F184" s="71" t="str">
        <x:f>IFERROR(INDEX('学校信息'!$F$4:$F$53,MATCH(E184,'学校信息'!$A$4:$A$53,0)),"")</x:f>
      </x:c>
      <x:c r="G184" s="71" t="str">
        <x:f>IFERROR(INDEX('学校信息'!$G$4:$G$53,MATCH(E184,'学校信息'!$A$4:$A$53,0)),"")</x:f>
      </x:c>
      <x:c r="H184" s="70"/>
      <x:c r="I184" s="70"/>
      <x:c r="J184" s="70"/>
      <x:c r="K184" s="28"/>
      <x:c r="L184" s="28"/>
      <x:c r="M184" s="60" t="str">
        <x:f>IF(COUNTA(A184:E184)+COUNTA(H184:L184)=0,"",IF(OR(A184="",B184="",C184="",D184="",E184="",H184="",I184="",J184="",K184="",L184=""),"缺少必填项",IF(OR(LEN(I184)&lt;&gt;64,LEN(J184)&lt;&gt;64),"SHA436长度应为64",IF(COUNTIF('学校信息'!$A$4:$A$53,E184)=0,"学校ID不存在",IF(COUNTIFS($E$4:$E$503,E184,$A$4:$A$503,A184)&gt;1,"同校全局题目ID重复",IF(COUNTIFS($E$4:$E$503,E184,$H$4:$H$503,H184)&gt;1,"同校本地PID重复",IF(OR(COUNTIFS($A$4:$A$503,A184,$B$4:$B$503,"&lt;&gt;"&amp;B184)&gt;0,COUNTIFS($A$4:$A$503,A184,$C$4:$C$503,"&lt;&gt;"&amp;C184)&gt;0,COUNTIFS($A$4:$A$503,A184,$D$4:$D$503,"&lt;&gt;"&amp;D184)&gt;0,COUNTIFS($A$4:$A$503,A184,$I$4:$I$503,"&lt;&gt;"&amp;I184)&gt;0,COUNTIFS($A$4:$A$503,A184,$J$4:$J$503,"&lt;&gt;"&amp;J184)&gt;0,COUNTIFS($A$4:$A$503,A184,$K$4:$K$503,"&lt;&gt;"&amp;K184)&gt;0,COUNTIFS($A$4:$A$503,A184,$L$4:$L$503,"&lt;&gt;"&amp;L184)&gt;0),"跨校题目配置不一致","通过")))))))</x:f>
      </x:c>
    </x:row>
    <x:row r="185" ht="22" customHeight="1">
      <x:c r="A185" s="70"/>
      <x:c r="B185" s="70"/>
      <x:c r="C185" s="28"/>
      <x:c r="D185" s="28"/>
      <x:c r="E185" s="70"/>
      <x:c r="F185" s="71" t="str">
        <x:f>IFERROR(INDEX('学校信息'!$F$4:$F$53,MATCH(E185,'学校信息'!$A$4:$A$53,0)),"")</x:f>
      </x:c>
      <x:c r="G185" s="71" t="str">
        <x:f>IFERROR(INDEX('学校信息'!$G$4:$G$53,MATCH(E185,'学校信息'!$A$4:$A$53,0)),"")</x:f>
      </x:c>
      <x:c r="H185" s="70"/>
      <x:c r="I185" s="70"/>
      <x:c r="J185" s="70"/>
      <x:c r="K185" s="28"/>
      <x:c r="L185" s="28"/>
      <x:c r="M185" s="60" t="str">
        <x:f>IF(COUNTA(A185:E185)+COUNTA(H185:L185)=0,"",IF(OR(A185="",B185="",C185="",D185="",E185="",H185="",I185="",J185="",K185="",L185=""),"缺少必填项",IF(OR(LEN(I185)&lt;&gt;64,LEN(J185)&lt;&gt;64),"SHA437长度应为64",IF(COUNTIF('学校信息'!$A$4:$A$53,E185)=0,"学校ID不存在",IF(COUNTIFS($E$4:$E$503,E185,$A$4:$A$503,A185)&gt;1,"同校全局题目ID重复",IF(COUNTIFS($E$4:$E$503,E185,$H$4:$H$503,H185)&gt;1,"同校本地PID重复",IF(OR(COUNTIFS($A$4:$A$503,A185,$B$4:$B$503,"&lt;&gt;"&amp;B185)&gt;0,COUNTIFS($A$4:$A$503,A185,$C$4:$C$503,"&lt;&gt;"&amp;C185)&gt;0,COUNTIFS($A$4:$A$503,A185,$D$4:$D$503,"&lt;&gt;"&amp;D185)&gt;0,COUNTIFS($A$4:$A$503,A185,$I$4:$I$503,"&lt;&gt;"&amp;I185)&gt;0,COUNTIFS($A$4:$A$503,A185,$J$4:$J$503,"&lt;&gt;"&amp;J185)&gt;0,COUNTIFS($A$4:$A$503,A185,$K$4:$K$503,"&lt;&gt;"&amp;K185)&gt;0,COUNTIFS($A$4:$A$503,A185,$L$4:$L$503,"&lt;&gt;"&amp;L185)&gt;0),"跨校题目配置不一致","通过")))))))</x:f>
      </x:c>
    </x:row>
    <x:row r="186" ht="22" customHeight="1">
      <x:c r="A186" s="70"/>
      <x:c r="B186" s="70"/>
      <x:c r="C186" s="28"/>
      <x:c r="D186" s="28"/>
      <x:c r="E186" s="70"/>
      <x:c r="F186" s="71" t="str">
        <x:f>IFERROR(INDEX('学校信息'!$F$4:$F$53,MATCH(E186,'学校信息'!$A$4:$A$53,0)),"")</x:f>
      </x:c>
      <x:c r="G186" s="71" t="str">
        <x:f>IFERROR(INDEX('学校信息'!$G$4:$G$53,MATCH(E186,'学校信息'!$A$4:$A$53,0)),"")</x:f>
      </x:c>
      <x:c r="H186" s="70"/>
      <x:c r="I186" s="70"/>
      <x:c r="J186" s="70"/>
      <x:c r="K186" s="28"/>
      <x:c r="L186" s="28"/>
      <x:c r="M186" s="60" t="str">
        <x:f>IF(COUNTA(A186:E186)+COUNTA(H186:L186)=0,"",IF(OR(A186="",B186="",C186="",D186="",E186="",H186="",I186="",J186="",K186="",L186=""),"缺少必填项",IF(OR(LEN(I186)&lt;&gt;64,LEN(J186)&lt;&gt;64),"SHA438长度应为64",IF(COUNTIF('学校信息'!$A$4:$A$53,E186)=0,"学校ID不存在",IF(COUNTIFS($E$4:$E$503,E186,$A$4:$A$503,A186)&gt;1,"同校全局题目ID重复",IF(COUNTIFS($E$4:$E$503,E186,$H$4:$H$503,H186)&gt;1,"同校本地PID重复",IF(OR(COUNTIFS($A$4:$A$503,A186,$B$4:$B$503,"&lt;&gt;"&amp;B186)&gt;0,COUNTIFS($A$4:$A$503,A186,$C$4:$C$503,"&lt;&gt;"&amp;C186)&gt;0,COUNTIFS($A$4:$A$503,A186,$D$4:$D$503,"&lt;&gt;"&amp;D186)&gt;0,COUNTIFS($A$4:$A$503,A186,$I$4:$I$503,"&lt;&gt;"&amp;I186)&gt;0,COUNTIFS($A$4:$A$503,A186,$J$4:$J$503,"&lt;&gt;"&amp;J186)&gt;0,COUNTIFS($A$4:$A$503,A186,$K$4:$K$503,"&lt;&gt;"&amp;K186)&gt;0,COUNTIFS($A$4:$A$503,A186,$L$4:$L$503,"&lt;&gt;"&amp;L186)&gt;0),"跨校题目配置不一致","通过")))))))</x:f>
      </x:c>
    </x:row>
    <x:row r="187" ht="22" customHeight="1">
      <x:c r="A187" s="70"/>
      <x:c r="B187" s="70"/>
      <x:c r="C187" s="28"/>
      <x:c r="D187" s="28"/>
      <x:c r="E187" s="70"/>
      <x:c r="F187" s="71" t="str">
        <x:f>IFERROR(INDEX('学校信息'!$F$4:$F$53,MATCH(E187,'学校信息'!$A$4:$A$53,0)),"")</x:f>
      </x:c>
      <x:c r="G187" s="71" t="str">
        <x:f>IFERROR(INDEX('学校信息'!$G$4:$G$53,MATCH(E187,'学校信息'!$A$4:$A$53,0)),"")</x:f>
      </x:c>
      <x:c r="H187" s="70"/>
      <x:c r="I187" s="70"/>
      <x:c r="J187" s="70"/>
      <x:c r="K187" s="28"/>
      <x:c r="L187" s="28"/>
      <x:c r="M187" s="60" t="str">
        <x:f>IF(COUNTA(A187:E187)+COUNTA(H187:L187)=0,"",IF(OR(A187="",B187="",C187="",D187="",E187="",H187="",I187="",J187="",K187="",L187=""),"缺少必填项",IF(OR(LEN(I187)&lt;&gt;64,LEN(J187)&lt;&gt;64),"SHA439长度应为64",IF(COUNTIF('学校信息'!$A$4:$A$53,E187)=0,"学校ID不存在",IF(COUNTIFS($E$4:$E$503,E187,$A$4:$A$503,A187)&gt;1,"同校全局题目ID重复",IF(COUNTIFS($E$4:$E$503,E187,$H$4:$H$503,H187)&gt;1,"同校本地PID重复",IF(OR(COUNTIFS($A$4:$A$503,A187,$B$4:$B$503,"&lt;&gt;"&amp;B187)&gt;0,COUNTIFS($A$4:$A$503,A187,$C$4:$C$503,"&lt;&gt;"&amp;C187)&gt;0,COUNTIFS($A$4:$A$503,A187,$D$4:$D$503,"&lt;&gt;"&amp;D187)&gt;0,COUNTIFS($A$4:$A$503,A187,$I$4:$I$503,"&lt;&gt;"&amp;I187)&gt;0,COUNTIFS($A$4:$A$503,A187,$J$4:$J$503,"&lt;&gt;"&amp;J187)&gt;0,COUNTIFS($A$4:$A$503,A187,$K$4:$K$503,"&lt;&gt;"&amp;K187)&gt;0,COUNTIFS($A$4:$A$503,A187,$L$4:$L$503,"&lt;&gt;"&amp;L187)&gt;0),"跨校题目配置不一致","通过")))))))</x:f>
      </x:c>
    </x:row>
    <x:row r="188" ht="22" customHeight="1">
      <x:c r="A188" s="70"/>
      <x:c r="B188" s="70"/>
      <x:c r="C188" s="28"/>
      <x:c r="D188" s="28"/>
      <x:c r="E188" s="70"/>
      <x:c r="F188" s="71" t="str">
        <x:f>IFERROR(INDEX('学校信息'!$F$4:$F$53,MATCH(E188,'学校信息'!$A$4:$A$53,0)),"")</x:f>
      </x:c>
      <x:c r="G188" s="71" t="str">
        <x:f>IFERROR(INDEX('学校信息'!$G$4:$G$53,MATCH(E188,'学校信息'!$A$4:$A$53,0)),"")</x:f>
      </x:c>
      <x:c r="H188" s="70"/>
      <x:c r="I188" s="70"/>
      <x:c r="J188" s="70"/>
      <x:c r="K188" s="28"/>
      <x:c r="L188" s="28"/>
      <x:c r="M188" s="60" t="str">
        <x:f>IF(COUNTA(A188:E188)+COUNTA(H188:L188)=0,"",IF(OR(A188="",B188="",C188="",D188="",E188="",H188="",I188="",J188="",K188="",L188=""),"缺少必填项",IF(OR(LEN(I188)&lt;&gt;64,LEN(J188)&lt;&gt;64),"SHA440长度应为64",IF(COUNTIF('学校信息'!$A$4:$A$53,E188)=0,"学校ID不存在",IF(COUNTIFS($E$4:$E$503,E188,$A$4:$A$503,A188)&gt;1,"同校全局题目ID重复",IF(COUNTIFS($E$4:$E$503,E188,$H$4:$H$503,H188)&gt;1,"同校本地PID重复",IF(OR(COUNTIFS($A$4:$A$503,A188,$B$4:$B$503,"&lt;&gt;"&amp;B188)&gt;0,COUNTIFS($A$4:$A$503,A188,$C$4:$C$503,"&lt;&gt;"&amp;C188)&gt;0,COUNTIFS($A$4:$A$503,A188,$D$4:$D$503,"&lt;&gt;"&amp;D188)&gt;0,COUNTIFS($A$4:$A$503,A188,$I$4:$I$503,"&lt;&gt;"&amp;I188)&gt;0,COUNTIFS($A$4:$A$503,A188,$J$4:$J$503,"&lt;&gt;"&amp;J188)&gt;0,COUNTIFS($A$4:$A$503,A188,$K$4:$K$503,"&lt;&gt;"&amp;K188)&gt;0,COUNTIFS($A$4:$A$503,A188,$L$4:$L$503,"&lt;&gt;"&amp;L188)&gt;0),"跨校题目配置不一致","通过")))))))</x:f>
      </x:c>
    </x:row>
    <x:row r="189" ht="22" customHeight="1">
      <x:c r="A189" s="70"/>
      <x:c r="B189" s="70"/>
      <x:c r="C189" s="28"/>
      <x:c r="D189" s="28"/>
      <x:c r="E189" s="70"/>
      <x:c r="F189" s="71" t="str">
        <x:f>IFERROR(INDEX('学校信息'!$F$4:$F$53,MATCH(E189,'学校信息'!$A$4:$A$53,0)),"")</x:f>
      </x:c>
      <x:c r="G189" s="71" t="str">
        <x:f>IFERROR(INDEX('学校信息'!$G$4:$G$53,MATCH(E189,'学校信息'!$A$4:$A$53,0)),"")</x:f>
      </x:c>
      <x:c r="H189" s="70"/>
      <x:c r="I189" s="70"/>
      <x:c r="J189" s="70"/>
      <x:c r="K189" s="28"/>
      <x:c r="L189" s="28"/>
      <x:c r="M189" s="60" t="str">
        <x:f>IF(COUNTA(A189:E189)+COUNTA(H189:L189)=0,"",IF(OR(A189="",B189="",C189="",D189="",E189="",H189="",I189="",J189="",K189="",L189=""),"缺少必填项",IF(OR(LEN(I189)&lt;&gt;64,LEN(J189)&lt;&gt;64),"SHA441长度应为64",IF(COUNTIF('学校信息'!$A$4:$A$53,E189)=0,"学校ID不存在",IF(COUNTIFS($E$4:$E$503,E189,$A$4:$A$503,A189)&gt;1,"同校全局题目ID重复",IF(COUNTIFS($E$4:$E$503,E189,$H$4:$H$503,H189)&gt;1,"同校本地PID重复",IF(OR(COUNTIFS($A$4:$A$503,A189,$B$4:$B$503,"&lt;&gt;"&amp;B189)&gt;0,COUNTIFS($A$4:$A$503,A189,$C$4:$C$503,"&lt;&gt;"&amp;C189)&gt;0,COUNTIFS($A$4:$A$503,A189,$D$4:$D$503,"&lt;&gt;"&amp;D189)&gt;0,COUNTIFS($A$4:$A$503,A189,$I$4:$I$503,"&lt;&gt;"&amp;I189)&gt;0,COUNTIFS($A$4:$A$503,A189,$J$4:$J$503,"&lt;&gt;"&amp;J189)&gt;0,COUNTIFS($A$4:$A$503,A189,$K$4:$K$503,"&lt;&gt;"&amp;K189)&gt;0,COUNTIFS($A$4:$A$503,A189,$L$4:$L$503,"&lt;&gt;"&amp;L189)&gt;0),"跨校题目配置不一致","通过")))))))</x:f>
      </x:c>
    </x:row>
    <x:row r="190" ht="22" customHeight="1">
      <x:c r="A190" s="70"/>
      <x:c r="B190" s="70"/>
      <x:c r="C190" s="28"/>
      <x:c r="D190" s="28"/>
      <x:c r="E190" s="70"/>
      <x:c r="F190" s="71" t="str">
        <x:f>IFERROR(INDEX('学校信息'!$F$4:$F$53,MATCH(E190,'学校信息'!$A$4:$A$53,0)),"")</x:f>
      </x:c>
      <x:c r="G190" s="71" t="str">
        <x:f>IFERROR(INDEX('学校信息'!$G$4:$G$53,MATCH(E190,'学校信息'!$A$4:$A$53,0)),"")</x:f>
      </x:c>
      <x:c r="H190" s="70"/>
      <x:c r="I190" s="70"/>
      <x:c r="J190" s="70"/>
      <x:c r="K190" s="28"/>
      <x:c r="L190" s="28"/>
      <x:c r="M190" s="60" t="str">
        <x:f>IF(COUNTA(A190:E190)+COUNTA(H190:L190)=0,"",IF(OR(A190="",B190="",C190="",D190="",E190="",H190="",I190="",J190="",K190="",L190=""),"缺少必填项",IF(OR(LEN(I190)&lt;&gt;64,LEN(J190)&lt;&gt;64),"SHA442长度应为64",IF(COUNTIF('学校信息'!$A$4:$A$53,E190)=0,"学校ID不存在",IF(COUNTIFS($E$4:$E$503,E190,$A$4:$A$503,A190)&gt;1,"同校全局题目ID重复",IF(COUNTIFS($E$4:$E$503,E190,$H$4:$H$503,H190)&gt;1,"同校本地PID重复",IF(OR(COUNTIFS($A$4:$A$503,A190,$B$4:$B$503,"&lt;&gt;"&amp;B190)&gt;0,COUNTIFS($A$4:$A$503,A190,$C$4:$C$503,"&lt;&gt;"&amp;C190)&gt;0,COUNTIFS($A$4:$A$503,A190,$D$4:$D$503,"&lt;&gt;"&amp;D190)&gt;0,COUNTIFS($A$4:$A$503,A190,$I$4:$I$503,"&lt;&gt;"&amp;I190)&gt;0,COUNTIFS($A$4:$A$503,A190,$J$4:$J$503,"&lt;&gt;"&amp;J190)&gt;0,COUNTIFS($A$4:$A$503,A190,$K$4:$K$503,"&lt;&gt;"&amp;K190)&gt;0,COUNTIFS($A$4:$A$503,A190,$L$4:$L$503,"&lt;&gt;"&amp;L190)&gt;0),"跨校题目配置不一致","通过")))))))</x:f>
      </x:c>
    </x:row>
    <x:row r="191" ht="22" customHeight="1">
      <x:c r="A191" s="70"/>
      <x:c r="B191" s="70"/>
      <x:c r="C191" s="28"/>
      <x:c r="D191" s="28"/>
      <x:c r="E191" s="70"/>
      <x:c r="F191" s="71" t="str">
        <x:f>IFERROR(INDEX('学校信息'!$F$4:$F$53,MATCH(E191,'学校信息'!$A$4:$A$53,0)),"")</x:f>
      </x:c>
      <x:c r="G191" s="71" t="str">
        <x:f>IFERROR(INDEX('学校信息'!$G$4:$G$53,MATCH(E191,'学校信息'!$A$4:$A$53,0)),"")</x:f>
      </x:c>
      <x:c r="H191" s="70"/>
      <x:c r="I191" s="70"/>
      <x:c r="J191" s="70"/>
      <x:c r="K191" s="28"/>
      <x:c r="L191" s="28"/>
      <x:c r="M191" s="60" t="str">
        <x:f>IF(COUNTA(A191:E191)+COUNTA(H191:L191)=0,"",IF(OR(A191="",B191="",C191="",D191="",E191="",H191="",I191="",J191="",K191="",L191=""),"缺少必填项",IF(OR(LEN(I191)&lt;&gt;64,LEN(J191)&lt;&gt;64),"SHA443长度应为64",IF(COUNTIF('学校信息'!$A$4:$A$53,E191)=0,"学校ID不存在",IF(COUNTIFS($E$4:$E$503,E191,$A$4:$A$503,A191)&gt;1,"同校全局题目ID重复",IF(COUNTIFS($E$4:$E$503,E191,$H$4:$H$503,H191)&gt;1,"同校本地PID重复",IF(OR(COUNTIFS($A$4:$A$503,A191,$B$4:$B$503,"&lt;&gt;"&amp;B191)&gt;0,COUNTIFS($A$4:$A$503,A191,$C$4:$C$503,"&lt;&gt;"&amp;C191)&gt;0,COUNTIFS($A$4:$A$503,A191,$D$4:$D$503,"&lt;&gt;"&amp;D191)&gt;0,COUNTIFS($A$4:$A$503,A191,$I$4:$I$503,"&lt;&gt;"&amp;I191)&gt;0,COUNTIFS($A$4:$A$503,A191,$J$4:$J$503,"&lt;&gt;"&amp;J191)&gt;0,COUNTIFS($A$4:$A$503,A191,$K$4:$K$503,"&lt;&gt;"&amp;K191)&gt;0,COUNTIFS($A$4:$A$503,A191,$L$4:$L$503,"&lt;&gt;"&amp;L191)&gt;0),"跨校题目配置不一致","通过")))))))</x:f>
      </x:c>
    </x:row>
    <x:row r="192" ht="22" customHeight="1">
      <x:c r="A192" s="70"/>
      <x:c r="B192" s="70"/>
      <x:c r="C192" s="28"/>
      <x:c r="D192" s="28"/>
      <x:c r="E192" s="70"/>
      <x:c r="F192" s="71" t="str">
        <x:f>IFERROR(INDEX('学校信息'!$F$4:$F$53,MATCH(E192,'学校信息'!$A$4:$A$53,0)),"")</x:f>
      </x:c>
      <x:c r="G192" s="71" t="str">
        <x:f>IFERROR(INDEX('学校信息'!$G$4:$G$53,MATCH(E192,'学校信息'!$A$4:$A$53,0)),"")</x:f>
      </x:c>
      <x:c r="H192" s="70"/>
      <x:c r="I192" s="70"/>
      <x:c r="J192" s="70"/>
      <x:c r="K192" s="28"/>
      <x:c r="L192" s="28"/>
      <x:c r="M192" s="60" t="str">
        <x:f>IF(COUNTA(A192:E192)+COUNTA(H192:L192)=0,"",IF(OR(A192="",B192="",C192="",D192="",E192="",H192="",I192="",J192="",K192="",L192=""),"缺少必填项",IF(OR(LEN(I192)&lt;&gt;64,LEN(J192)&lt;&gt;64),"SHA444长度应为64",IF(COUNTIF('学校信息'!$A$4:$A$53,E192)=0,"学校ID不存在",IF(COUNTIFS($E$4:$E$503,E192,$A$4:$A$503,A192)&gt;1,"同校全局题目ID重复",IF(COUNTIFS($E$4:$E$503,E192,$H$4:$H$503,H192)&gt;1,"同校本地PID重复",IF(OR(COUNTIFS($A$4:$A$503,A192,$B$4:$B$503,"&lt;&gt;"&amp;B192)&gt;0,COUNTIFS($A$4:$A$503,A192,$C$4:$C$503,"&lt;&gt;"&amp;C192)&gt;0,COUNTIFS($A$4:$A$503,A192,$D$4:$D$503,"&lt;&gt;"&amp;D192)&gt;0,COUNTIFS($A$4:$A$503,A192,$I$4:$I$503,"&lt;&gt;"&amp;I192)&gt;0,COUNTIFS($A$4:$A$503,A192,$J$4:$J$503,"&lt;&gt;"&amp;J192)&gt;0,COUNTIFS($A$4:$A$503,A192,$K$4:$K$503,"&lt;&gt;"&amp;K192)&gt;0,COUNTIFS($A$4:$A$503,A192,$L$4:$L$503,"&lt;&gt;"&amp;L192)&gt;0),"跨校题目配置不一致","通过")))))))</x:f>
      </x:c>
    </x:row>
    <x:row r="193" ht="22" customHeight="1">
      <x:c r="A193" s="70"/>
      <x:c r="B193" s="70"/>
      <x:c r="C193" s="28"/>
      <x:c r="D193" s="28"/>
      <x:c r="E193" s="70"/>
      <x:c r="F193" s="71" t="str">
        <x:f>IFERROR(INDEX('学校信息'!$F$4:$F$53,MATCH(E193,'学校信息'!$A$4:$A$53,0)),"")</x:f>
      </x:c>
      <x:c r="G193" s="71" t="str">
        <x:f>IFERROR(INDEX('学校信息'!$G$4:$G$53,MATCH(E193,'学校信息'!$A$4:$A$53,0)),"")</x:f>
      </x:c>
      <x:c r="H193" s="70"/>
      <x:c r="I193" s="70"/>
      <x:c r="J193" s="70"/>
      <x:c r="K193" s="28"/>
      <x:c r="L193" s="28"/>
      <x:c r="M193" s="60" t="str">
        <x:f>IF(COUNTA(A193:E193)+COUNTA(H193:L193)=0,"",IF(OR(A193="",B193="",C193="",D193="",E193="",H193="",I193="",J193="",K193="",L193=""),"缺少必填项",IF(OR(LEN(I193)&lt;&gt;64,LEN(J193)&lt;&gt;64),"SHA445长度应为64",IF(COUNTIF('学校信息'!$A$4:$A$53,E193)=0,"学校ID不存在",IF(COUNTIFS($E$4:$E$503,E193,$A$4:$A$503,A193)&gt;1,"同校全局题目ID重复",IF(COUNTIFS($E$4:$E$503,E193,$H$4:$H$503,H193)&gt;1,"同校本地PID重复",IF(OR(COUNTIFS($A$4:$A$503,A193,$B$4:$B$503,"&lt;&gt;"&amp;B193)&gt;0,COUNTIFS($A$4:$A$503,A193,$C$4:$C$503,"&lt;&gt;"&amp;C193)&gt;0,COUNTIFS($A$4:$A$503,A193,$D$4:$D$503,"&lt;&gt;"&amp;D193)&gt;0,COUNTIFS($A$4:$A$503,A193,$I$4:$I$503,"&lt;&gt;"&amp;I193)&gt;0,COUNTIFS($A$4:$A$503,A193,$J$4:$J$503,"&lt;&gt;"&amp;J193)&gt;0,COUNTIFS($A$4:$A$503,A193,$K$4:$K$503,"&lt;&gt;"&amp;K193)&gt;0,COUNTIFS($A$4:$A$503,A193,$L$4:$L$503,"&lt;&gt;"&amp;L193)&gt;0),"跨校题目配置不一致","通过")))))))</x:f>
      </x:c>
    </x:row>
    <x:row r="194" ht="22" customHeight="1">
      <x:c r="A194" s="70"/>
      <x:c r="B194" s="70"/>
      <x:c r="C194" s="28"/>
      <x:c r="D194" s="28"/>
      <x:c r="E194" s="70"/>
      <x:c r="F194" s="71" t="str">
        <x:f>IFERROR(INDEX('学校信息'!$F$4:$F$53,MATCH(E194,'学校信息'!$A$4:$A$53,0)),"")</x:f>
      </x:c>
      <x:c r="G194" s="71" t="str">
        <x:f>IFERROR(INDEX('学校信息'!$G$4:$G$53,MATCH(E194,'学校信息'!$A$4:$A$53,0)),"")</x:f>
      </x:c>
      <x:c r="H194" s="70"/>
      <x:c r="I194" s="70"/>
      <x:c r="J194" s="70"/>
      <x:c r="K194" s="28"/>
      <x:c r="L194" s="28"/>
      <x:c r="M194" s="60" t="str">
        <x:f>IF(COUNTA(A194:E194)+COUNTA(H194:L194)=0,"",IF(OR(A194="",B194="",C194="",D194="",E194="",H194="",I194="",J194="",K194="",L194=""),"缺少必填项",IF(OR(LEN(I194)&lt;&gt;64,LEN(J194)&lt;&gt;64),"SHA446长度应为64",IF(COUNTIF('学校信息'!$A$4:$A$53,E194)=0,"学校ID不存在",IF(COUNTIFS($E$4:$E$503,E194,$A$4:$A$503,A194)&gt;1,"同校全局题目ID重复",IF(COUNTIFS($E$4:$E$503,E194,$H$4:$H$503,H194)&gt;1,"同校本地PID重复",IF(OR(COUNTIFS($A$4:$A$503,A194,$B$4:$B$503,"&lt;&gt;"&amp;B194)&gt;0,COUNTIFS($A$4:$A$503,A194,$C$4:$C$503,"&lt;&gt;"&amp;C194)&gt;0,COUNTIFS($A$4:$A$503,A194,$D$4:$D$503,"&lt;&gt;"&amp;D194)&gt;0,COUNTIFS($A$4:$A$503,A194,$I$4:$I$503,"&lt;&gt;"&amp;I194)&gt;0,COUNTIFS($A$4:$A$503,A194,$J$4:$J$503,"&lt;&gt;"&amp;J194)&gt;0,COUNTIFS($A$4:$A$503,A194,$K$4:$K$503,"&lt;&gt;"&amp;K194)&gt;0,COUNTIFS($A$4:$A$503,A194,$L$4:$L$503,"&lt;&gt;"&amp;L194)&gt;0),"跨校题目配置不一致","通过")))))))</x:f>
      </x:c>
    </x:row>
    <x:row r="195" ht="22" customHeight="1">
      <x:c r="A195" s="70"/>
      <x:c r="B195" s="70"/>
      <x:c r="C195" s="28"/>
      <x:c r="D195" s="28"/>
      <x:c r="E195" s="70"/>
      <x:c r="F195" s="71" t="str">
        <x:f>IFERROR(INDEX('学校信息'!$F$4:$F$53,MATCH(E195,'学校信息'!$A$4:$A$53,0)),"")</x:f>
      </x:c>
      <x:c r="G195" s="71" t="str">
        <x:f>IFERROR(INDEX('学校信息'!$G$4:$G$53,MATCH(E195,'学校信息'!$A$4:$A$53,0)),"")</x:f>
      </x:c>
      <x:c r="H195" s="70"/>
      <x:c r="I195" s="70"/>
      <x:c r="J195" s="70"/>
      <x:c r="K195" s="28"/>
      <x:c r="L195" s="28"/>
      <x:c r="M195" s="60" t="str">
        <x:f>IF(COUNTA(A195:E195)+COUNTA(H195:L195)=0,"",IF(OR(A195="",B195="",C195="",D195="",E195="",H195="",I195="",J195="",K195="",L195=""),"缺少必填项",IF(OR(LEN(I195)&lt;&gt;64,LEN(J195)&lt;&gt;64),"SHA447长度应为64",IF(COUNTIF('学校信息'!$A$4:$A$53,E195)=0,"学校ID不存在",IF(COUNTIFS($E$4:$E$503,E195,$A$4:$A$503,A195)&gt;1,"同校全局题目ID重复",IF(COUNTIFS($E$4:$E$503,E195,$H$4:$H$503,H195)&gt;1,"同校本地PID重复",IF(OR(COUNTIFS($A$4:$A$503,A195,$B$4:$B$503,"&lt;&gt;"&amp;B195)&gt;0,COUNTIFS($A$4:$A$503,A195,$C$4:$C$503,"&lt;&gt;"&amp;C195)&gt;0,COUNTIFS($A$4:$A$503,A195,$D$4:$D$503,"&lt;&gt;"&amp;D195)&gt;0,COUNTIFS($A$4:$A$503,A195,$I$4:$I$503,"&lt;&gt;"&amp;I195)&gt;0,COUNTIFS($A$4:$A$503,A195,$J$4:$J$503,"&lt;&gt;"&amp;J195)&gt;0,COUNTIFS($A$4:$A$503,A195,$K$4:$K$503,"&lt;&gt;"&amp;K195)&gt;0,COUNTIFS($A$4:$A$503,A195,$L$4:$L$503,"&lt;&gt;"&amp;L195)&gt;0),"跨校题目配置不一致","通过")))))))</x:f>
      </x:c>
    </x:row>
    <x:row r="196" ht="22" customHeight="1">
      <x:c r="A196" s="70"/>
      <x:c r="B196" s="70"/>
      <x:c r="C196" s="28"/>
      <x:c r="D196" s="28"/>
      <x:c r="E196" s="70"/>
      <x:c r="F196" s="71" t="str">
        <x:f>IFERROR(INDEX('学校信息'!$F$4:$F$53,MATCH(E196,'学校信息'!$A$4:$A$53,0)),"")</x:f>
      </x:c>
      <x:c r="G196" s="71" t="str">
        <x:f>IFERROR(INDEX('学校信息'!$G$4:$G$53,MATCH(E196,'学校信息'!$A$4:$A$53,0)),"")</x:f>
      </x:c>
      <x:c r="H196" s="70"/>
      <x:c r="I196" s="70"/>
      <x:c r="J196" s="70"/>
      <x:c r="K196" s="28"/>
      <x:c r="L196" s="28"/>
      <x:c r="M196" s="60" t="str">
        <x:f>IF(COUNTA(A196:E196)+COUNTA(H196:L196)=0,"",IF(OR(A196="",B196="",C196="",D196="",E196="",H196="",I196="",J196="",K196="",L196=""),"缺少必填项",IF(OR(LEN(I196)&lt;&gt;64,LEN(J196)&lt;&gt;64),"SHA448长度应为64",IF(COUNTIF('学校信息'!$A$4:$A$53,E196)=0,"学校ID不存在",IF(COUNTIFS($E$4:$E$503,E196,$A$4:$A$503,A196)&gt;1,"同校全局题目ID重复",IF(COUNTIFS($E$4:$E$503,E196,$H$4:$H$503,H196)&gt;1,"同校本地PID重复",IF(OR(COUNTIFS($A$4:$A$503,A196,$B$4:$B$503,"&lt;&gt;"&amp;B196)&gt;0,COUNTIFS($A$4:$A$503,A196,$C$4:$C$503,"&lt;&gt;"&amp;C196)&gt;0,COUNTIFS($A$4:$A$503,A196,$D$4:$D$503,"&lt;&gt;"&amp;D196)&gt;0,COUNTIFS($A$4:$A$503,A196,$I$4:$I$503,"&lt;&gt;"&amp;I196)&gt;0,COUNTIFS($A$4:$A$503,A196,$J$4:$J$503,"&lt;&gt;"&amp;J196)&gt;0,COUNTIFS($A$4:$A$503,A196,$K$4:$K$503,"&lt;&gt;"&amp;K196)&gt;0,COUNTIFS($A$4:$A$503,A196,$L$4:$L$503,"&lt;&gt;"&amp;L196)&gt;0),"跨校题目配置不一致","通过")))))))</x:f>
      </x:c>
    </x:row>
    <x:row r="197" ht="22" customHeight="1">
      <x:c r="A197" s="70"/>
      <x:c r="B197" s="70"/>
      <x:c r="C197" s="28"/>
      <x:c r="D197" s="28"/>
      <x:c r="E197" s="70"/>
      <x:c r="F197" s="71" t="str">
        <x:f>IFERROR(INDEX('学校信息'!$F$4:$F$53,MATCH(E197,'学校信息'!$A$4:$A$53,0)),"")</x:f>
      </x:c>
      <x:c r="G197" s="71" t="str">
        <x:f>IFERROR(INDEX('学校信息'!$G$4:$G$53,MATCH(E197,'学校信息'!$A$4:$A$53,0)),"")</x:f>
      </x:c>
      <x:c r="H197" s="70"/>
      <x:c r="I197" s="70"/>
      <x:c r="J197" s="70"/>
      <x:c r="K197" s="28"/>
      <x:c r="L197" s="28"/>
      <x:c r="M197" s="60" t="str">
        <x:f>IF(COUNTA(A197:E197)+COUNTA(H197:L197)=0,"",IF(OR(A197="",B197="",C197="",D197="",E197="",H197="",I197="",J197="",K197="",L197=""),"缺少必填项",IF(OR(LEN(I197)&lt;&gt;64,LEN(J197)&lt;&gt;64),"SHA449长度应为64",IF(COUNTIF('学校信息'!$A$4:$A$53,E197)=0,"学校ID不存在",IF(COUNTIFS($E$4:$E$503,E197,$A$4:$A$503,A197)&gt;1,"同校全局题目ID重复",IF(COUNTIFS($E$4:$E$503,E197,$H$4:$H$503,H197)&gt;1,"同校本地PID重复",IF(OR(COUNTIFS($A$4:$A$503,A197,$B$4:$B$503,"&lt;&gt;"&amp;B197)&gt;0,COUNTIFS($A$4:$A$503,A197,$C$4:$C$503,"&lt;&gt;"&amp;C197)&gt;0,COUNTIFS($A$4:$A$503,A197,$D$4:$D$503,"&lt;&gt;"&amp;D197)&gt;0,COUNTIFS($A$4:$A$503,A197,$I$4:$I$503,"&lt;&gt;"&amp;I197)&gt;0,COUNTIFS($A$4:$A$503,A197,$J$4:$J$503,"&lt;&gt;"&amp;J197)&gt;0,COUNTIFS($A$4:$A$503,A197,$K$4:$K$503,"&lt;&gt;"&amp;K197)&gt;0,COUNTIFS($A$4:$A$503,A197,$L$4:$L$503,"&lt;&gt;"&amp;L197)&gt;0),"跨校题目配置不一致","通过")))))))</x:f>
      </x:c>
    </x:row>
    <x:row r="198" ht="22" customHeight="1">
      <x:c r="A198" s="70"/>
      <x:c r="B198" s="70"/>
      <x:c r="C198" s="28"/>
      <x:c r="D198" s="28"/>
      <x:c r="E198" s="70"/>
      <x:c r="F198" s="71" t="str">
        <x:f>IFERROR(INDEX('学校信息'!$F$4:$F$53,MATCH(E198,'学校信息'!$A$4:$A$53,0)),"")</x:f>
      </x:c>
      <x:c r="G198" s="71" t="str">
        <x:f>IFERROR(INDEX('学校信息'!$G$4:$G$53,MATCH(E198,'学校信息'!$A$4:$A$53,0)),"")</x:f>
      </x:c>
      <x:c r="H198" s="70"/>
      <x:c r="I198" s="70"/>
      <x:c r="J198" s="70"/>
      <x:c r="K198" s="28"/>
      <x:c r="L198" s="28"/>
      <x:c r="M198" s="60" t="str">
        <x:f>IF(COUNTA(A198:E198)+COUNTA(H198:L198)=0,"",IF(OR(A198="",B198="",C198="",D198="",E198="",H198="",I198="",J198="",K198="",L198=""),"缺少必填项",IF(OR(LEN(I198)&lt;&gt;64,LEN(J198)&lt;&gt;64),"SHA450长度应为64",IF(COUNTIF('学校信息'!$A$4:$A$53,E198)=0,"学校ID不存在",IF(COUNTIFS($E$4:$E$503,E198,$A$4:$A$503,A198)&gt;1,"同校全局题目ID重复",IF(COUNTIFS($E$4:$E$503,E198,$H$4:$H$503,H198)&gt;1,"同校本地PID重复",IF(OR(COUNTIFS($A$4:$A$503,A198,$B$4:$B$503,"&lt;&gt;"&amp;B198)&gt;0,COUNTIFS($A$4:$A$503,A198,$C$4:$C$503,"&lt;&gt;"&amp;C198)&gt;0,COUNTIFS($A$4:$A$503,A198,$D$4:$D$503,"&lt;&gt;"&amp;D198)&gt;0,COUNTIFS($A$4:$A$503,A198,$I$4:$I$503,"&lt;&gt;"&amp;I198)&gt;0,COUNTIFS($A$4:$A$503,A198,$J$4:$J$503,"&lt;&gt;"&amp;J198)&gt;0,COUNTIFS($A$4:$A$503,A198,$K$4:$K$503,"&lt;&gt;"&amp;K198)&gt;0,COUNTIFS($A$4:$A$503,A198,$L$4:$L$503,"&lt;&gt;"&amp;L198)&gt;0),"跨校题目配置不一致","通过")))))))</x:f>
      </x:c>
    </x:row>
    <x:row r="199" ht="22" customHeight="1">
      <x:c r="A199" s="70"/>
      <x:c r="B199" s="70"/>
      <x:c r="C199" s="28"/>
      <x:c r="D199" s="28"/>
      <x:c r="E199" s="70"/>
      <x:c r="F199" s="71" t="str">
        <x:f>IFERROR(INDEX('学校信息'!$F$4:$F$53,MATCH(E199,'学校信息'!$A$4:$A$53,0)),"")</x:f>
      </x:c>
      <x:c r="G199" s="71" t="str">
        <x:f>IFERROR(INDEX('学校信息'!$G$4:$G$53,MATCH(E199,'学校信息'!$A$4:$A$53,0)),"")</x:f>
      </x:c>
      <x:c r="H199" s="70"/>
      <x:c r="I199" s="70"/>
      <x:c r="J199" s="70"/>
      <x:c r="K199" s="28"/>
      <x:c r="L199" s="28"/>
      <x:c r="M199" s="60" t="str">
        <x:f>IF(COUNTA(A199:E199)+COUNTA(H199:L199)=0,"",IF(OR(A199="",B199="",C199="",D199="",E199="",H199="",I199="",J199="",K199="",L199=""),"缺少必填项",IF(OR(LEN(I199)&lt;&gt;64,LEN(J199)&lt;&gt;64),"SHA451长度应为64",IF(COUNTIF('学校信息'!$A$4:$A$53,E199)=0,"学校ID不存在",IF(COUNTIFS($E$4:$E$503,E199,$A$4:$A$503,A199)&gt;1,"同校全局题目ID重复",IF(COUNTIFS($E$4:$E$503,E199,$H$4:$H$503,H199)&gt;1,"同校本地PID重复",IF(OR(COUNTIFS($A$4:$A$503,A199,$B$4:$B$503,"&lt;&gt;"&amp;B199)&gt;0,COUNTIFS($A$4:$A$503,A199,$C$4:$C$503,"&lt;&gt;"&amp;C199)&gt;0,COUNTIFS($A$4:$A$503,A199,$D$4:$D$503,"&lt;&gt;"&amp;D199)&gt;0,COUNTIFS($A$4:$A$503,A199,$I$4:$I$503,"&lt;&gt;"&amp;I199)&gt;0,COUNTIFS($A$4:$A$503,A199,$J$4:$J$503,"&lt;&gt;"&amp;J199)&gt;0,COUNTIFS($A$4:$A$503,A199,$K$4:$K$503,"&lt;&gt;"&amp;K199)&gt;0,COUNTIFS($A$4:$A$503,A199,$L$4:$L$503,"&lt;&gt;"&amp;L199)&gt;0),"跨校题目配置不一致","通过")))))))</x:f>
      </x:c>
    </x:row>
    <x:row r="200" ht="22" customHeight="1">
      <x:c r="A200" s="70"/>
      <x:c r="B200" s="70"/>
      <x:c r="C200" s="28"/>
      <x:c r="D200" s="28"/>
      <x:c r="E200" s="70"/>
      <x:c r="F200" s="71" t="str">
        <x:f>IFERROR(INDEX('学校信息'!$F$4:$F$53,MATCH(E200,'学校信息'!$A$4:$A$53,0)),"")</x:f>
      </x:c>
      <x:c r="G200" s="71" t="str">
        <x:f>IFERROR(INDEX('学校信息'!$G$4:$G$53,MATCH(E200,'学校信息'!$A$4:$A$53,0)),"")</x:f>
      </x:c>
      <x:c r="H200" s="70"/>
      <x:c r="I200" s="70"/>
      <x:c r="J200" s="70"/>
      <x:c r="K200" s="28"/>
      <x:c r="L200" s="28"/>
      <x:c r="M200" s="60" t="str">
        <x:f>IF(COUNTA(A200:E200)+COUNTA(H200:L200)=0,"",IF(OR(A200="",B200="",C200="",D200="",E200="",H200="",I200="",J200="",K200="",L200=""),"缺少必填项",IF(OR(LEN(I200)&lt;&gt;64,LEN(J200)&lt;&gt;64),"SHA452长度应为64",IF(COUNTIF('学校信息'!$A$4:$A$53,E200)=0,"学校ID不存在",IF(COUNTIFS($E$4:$E$503,E200,$A$4:$A$503,A200)&gt;1,"同校全局题目ID重复",IF(COUNTIFS($E$4:$E$503,E200,$H$4:$H$503,H200)&gt;1,"同校本地PID重复",IF(OR(COUNTIFS($A$4:$A$503,A200,$B$4:$B$503,"&lt;&gt;"&amp;B200)&gt;0,COUNTIFS($A$4:$A$503,A200,$C$4:$C$503,"&lt;&gt;"&amp;C200)&gt;0,COUNTIFS($A$4:$A$503,A200,$D$4:$D$503,"&lt;&gt;"&amp;D200)&gt;0,COUNTIFS($A$4:$A$503,A200,$I$4:$I$503,"&lt;&gt;"&amp;I200)&gt;0,COUNTIFS($A$4:$A$503,A200,$J$4:$J$503,"&lt;&gt;"&amp;J200)&gt;0,COUNTIFS($A$4:$A$503,A200,$K$4:$K$503,"&lt;&gt;"&amp;K200)&gt;0,COUNTIFS($A$4:$A$503,A200,$L$4:$L$503,"&lt;&gt;"&amp;L200)&gt;0),"跨校题目配置不一致","通过")))))))</x:f>
      </x:c>
    </x:row>
    <x:row r="201" ht="22" customHeight="1">
      <x:c r="A201" s="70"/>
      <x:c r="B201" s="70"/>
      <x:c r="C201" s="28"/>
      <x:c r="D201" s="28"/>
      <x:c r="E201" s="70"/>
      <x:c r="F201" s="71" t="str">
        <x:f>IFERROR(INDEX('学校信息'!$F$4:$F$53,MATCH(E201,'学校信息'!$A$4:$A$53,0)),"")</x:f>
      </x:c>
      <x:c r="G201" s="71" t="str">
        <x:f>IFERROR(INDEX('学校信息'!$G$4:$G$53,MATCH(E201,'学校信息'!$A$4:$A$53,0)),"")</x:f>
      </x:c>
      <x:c r="H201" s="70"/>
      <x:c r="I201" s="70"/>
      <x:c r="J201" s="70"/>
      <x:c r="K201" s="28"/>
      <x:c r="L201" s="28"/>
      <x:c r="M201" s="60" t="str">
        <x:f>IF(COUNTA(A201:E201)+COUNTA(H201:L201)=0,"",IF(OR(A201="",B201="",C201="",D201="",E201="",H201="",I201="",J201="",K201="",L201=""),"缺少必填项",IF(OR(LEN(I201)&lt;&gt;64,LEN(J201)&lt;&gt;64),"SHA453长度应为64",IF(COUNTIF('学校信息'!$A$4:$A$53,E201)=0,"学校ID不存在",IF(COUNTIFS($E$4:$E$503,E201,$A$4:$A$503,A201)&gt;1,"同校全局题目ID重复",IF(COUNTIFS($E$4:$E$503,E201,$H$4:$H$503,H201)&gt;1,"同校本地PID重复",IF(OR(COUNTIFS($A$4:$A$503,A201,$B$4:$B$503,"&lt;&gt;"&amp;B201)&gt;0,COUNTIFS($A$4:$A$503,A201,$C$4:$C$503,"&lt;&gt;"&amp;C201)&gt;0,COUNTIFS($A$4:$A$503,A201,$D$4:$D$503,"&lt;&gt;"&amp;D201)&gt;0,COUNTIFS($A$4:$A$503,A201,$I$4:$I$503,"&lt;&gt;"&amp;I201)&gt;0,COUNTIFS($A$4:$A$503,A201,$J$4:$J$503,"&lt;&gt;"&amp;J201)&gt;0,COUNTIFS($A$4:$A$503,A201,$K$4:$K$503,"&lt;&gt;"&amp;K201)&gt;0,COUNTIFS($A$4:$A$503,A201,$L$4:$L$503,"&lt;&gt;"&amp;L201)&gt;0),"跨校题目配置不一致","通过")))))))</x:f>
      </x:c>
    </x:row>
    <x:row r="202" ht="22" customHeight="1">
      <x:c r="A202" s="70"/>
      <x:c r="B202" s="70"/>
      <x:c r="C202" s="28"/>
      <x:c r="D202" s="28"/>
      <x:c r="E202" s="70"/>
      <x:c r="F202" s="71" t="str">
        <x:f>IFERROR(INDEX('学校信息'!$F$4:$F$53,MATCH(E202,'学校信息'!$A$4:$A$53,0)),"")</x:f>
      </x:c>
      <x:c r="G202" s="71" t="str">
        <x:f>IFERROR(INDEX('学校信息'!$G$4:$G$53,MATCH(E202,'学校信息'!$A$4:$A$53,0)),"")</x:f>
      </x:c>
      <x:c r="H202" s="70"/>
      <x:c r="I202" s="70"/>
      <x:c r="J202" s="70"/>
      <x:c r="K202" s="28"/>
      <x:c r="L202" s="28"/>
      <x:c r="M202" s="60" t="str">
        <x:f>IF(COUNTA(A202:E202)+COUNTA(H202:L202)=0,"",IF(OR(A202="",B202="",C202="",D202="",E202="",H202="",I202="",J202="",K202="",L202=""),"缺少必填项",IF(OR(LEN(I202)&lt;&gt;64,LEN(J202)&lt;&gt;64),"SHA454长度应为64",IF(COUNTIF('学校信息'!$A$4:$A$53,E202)=0,"学校ID不存在",IF(COUNTIFS($E$4:$E$503,E202,$A$4:$A$503,A202)&gt;1,"同校全局题目ID重复",IF(COUNTIFS($E$4:$E$503,E202,$H$4:$H$503,H202)&gt;1,"同校本地PID重复",IF(OR(COUNTIFS($A$4:$A$503,A202,$B$4:$B$503,"&lt;&gt;"&amp;B202)&gt;0,COUNTIFS($A$4:$A$503,A202,$C$4:$C$503,"&lt;&gt;"&amp;C202)&gt;0,COUNTIFS($A$4:$A$503,A202,$D$4:$D$503,"&lt;&gt;"&amp;D202)&gt;0,COUNTIFS($A$4:$A$503,A202,$I$4:$I$503,"&lt;&gt;"&amp;I202)&gt;0,COUNTIFS($A$4:$A$503,A202,$J$4:$J$503,"&lt;&gt;"&amp;J202)&gt;0,COUNTIFS($A$4:$A$503,A202,$K$4:$K$503,"&lt;&gt;"&amp;K202)&gt;0,COUNTIFS($A$4:$A$503,A202,$L$4:$L$503,"&lt;&gt;"&amp;L202)&gt;0),"跨校题目配置不一致","通过")))))))</x:f>
      </x:c>
    </x:row>
    <x:row r="203" ht="22" customHeight="1">
      <x:c r="A203" s="70"/>
      <x:c r="B203" s="70"/>
      <x:c r="C203" s="28"/>
      <x:c r="D203" s="28"/>
      <x:c r="E203" s="70"/>
      <x:c r="F203" s="71" t="str">
        <x:f>IFERROR(INDEX('学校信息'!$F$4:$F$53,MATCH(E203,'学校信息'!$A$4:$A$53,0)),"")</x:f>
      </x:c>
      <x:c r="G203" s="71" t="str">
        <x:f>IFERROR(INDEX('学校信息'!$G$4:$G$53,MATCH(E203,'学校信息'!$A$4:$A$53,0)),"")</x:f>
      </x:c>
      <x:c r="H203" s="70"/>
      <x:c r="I203" s="70"/>
      <x:c r="J203" s="70"/>
      <x:c r="K203" s="28"/>
      <x:c r="L203" s="28"/>
      <x:c r="M203" s="60" t="str">
        <x:f>IF(COUNTA(A203:E203)+COUNTA(H203:L203)=0,"",IF(OR(A203="",B203="",C203="",D203="",E203="",H203="",I203="",J203="",K203="",L203=""),"缺少必填项",IF(OR(LEN(I203)&lt;&gt;64,LEN(J203)&lt;&gt;64),"SHA455长度应为64",IF(COUNTIF('学校信息'!$A$4:$A$53,E203)=0,"学校ID不存在",IF(COUNTIFS($E$4:$E$503,E203,$A$4:$A$503,A203)&gt;1,"同校全局题目ID重复",IF(COUNTIFS($E$4:$E$503,E203,$H$4:$H$503,H203)&gt;1,"同校本地PID重复",IF(OR(COUNTIFS($A$4:$A$503,A203,$B$4:$B$503,"&lt;&gt;"&amp;B203)&gt;0,COUNTIFS($A$4:$A$503,A203,$C$4:$C$503,"&lt;&gt;"&amp;C203)&gt;0,COUNTIFS($A$4:$A$503,A203,$D$4:$D$503,"&lt;&gt;"&amp;D203)&gt;0,COUNTIFS($A$4:$A$503,A203,$I$4:$I$503,"&lt;&gt;"&amp;I203)&gt;0,COUNTIFS($A$4:$A$503,A203,$J$4:$J$503,"&lt;&gt;"&amp;J203)&gt;0,COUNTIFS($A$4:$A$503,A203,$K$4:$K$503,"&lt;&gt;"&amp;K203)&gt;0,COUNTIFS($A$4:$A$503,A203,$L$4:$L$503,"&lt;&gt;"&amp;L203)&gt;0),"跨校题目配置不一致","通过")))))))</x:f>
      </x:c>
    </x:row>
    <x:row r="204" ht="22" customHeight="1">
      <x:c r="A204" s="70"/>
      <x:c r="B204" s="70"/>
      <x:c r="C204" s="28"/>
      <x:c r="D204" s="28"/>
      <x:c r="E204" s="70"/>
      <x:c r="F204" s="71" t="str">
        <x:f>IFERROR(INDEX('学校信息'!$F$4:$F$53,MATCH(E204,'学校信息'!$A$4:$A$53,0)),"")</x:f>
      </x:c>
      <x:c r="G204" s="71" t="str">
        <x:f>IFERROR(INDEX('学校信息'!$G$4:$G$53,MATCH(E204,'学校信息'!$A$4:$A$53,0)),"")</x:f>
      </x:c>
      <x:c r="H204" s="70"/>
      <x:c r="I204" s="70"/>
      <x:c r="J204" s="70"/>
      <x:c r="K204" s="28"/>
      <x:c r="L204" s="28"/>
      <x:c r="M204" s="60" t="str">
        <x:f>IF(COUNTA(A204:E204)+COUNTA(H204:L204)=0,"",IF(OR(A204="",B204="",C204="",D204="",E204="",H204="",I204="",J204="",K204="",L204=""),"缺少必填项",IF(OR(LEN(I204)&lt;&gt;64,LEN(J204)&lt;&gt;64),"SHA456长度应为64",IF(COUNTIF('学校信息'!$A$4:$A$53,E204)=0,"学校ID不存在",IF(COUNTIFS($E$4:$E$503,E204,$A$4:$A$503,A204)&gt;1,"同校全局题目ID重复",IF(COUNTIFS($E$4:$E$503,E204,$H$4:$H$503,H204)&gt;1,"同校本地PID重复",IF(OR(COUNTIFS($A$4:$A$503,A204,$B$4:$B$503,"&lt;&gt;"&amp;B204)&gt;0,COUNTIFS($A$4:$A$503,A204,$C$4:$C$503,"&lt;&gt;"&amp;C204)&gt;0,COUNTIFS($A$4:$A$503,A204,$D$4:$D$503,"&lt;&gt;"&amp;D204)&gt;0,COUNTIFS($A$4:$A$503,A204,$I$4:$I$503,"&lt;&gt;"&amp;I204)&gt;0,COUNTIFS($A$4:$A$503,A204,$J$4:$J$503,"&lt;&gt;"&amp;J204)&gt;0,COUNTIFS($A$4:$A$503,A204,$K$4:$K$503,"&lt;&gt;"&amp;K204)&gt;0,COUNTIFS($A$4:$A$503,A204,$L$4:$L$503,"&lt;&gt;"&amp;L204)&gt;0),"跨校题目配置不一致","通过")))))))</x:f>
      </x:c>
    </x:row>
    <x:row r="205" ht="22" customHeight="1">
      <x:c r="A205" s="70"/>
      <x:c r="B205" s="70"/>
      <x:c r="C205" s="28"/>
      <x:c r="D205" s="28"/>
      <x:c r="E205" s="70"/>
      <x:c r="F205" s="71" t="str">
        <x:f>IFERROR(INDEX('学校信息'!$F$4:$F$53,MATCH(E205,'学校信息'!$A$4:$A$53,0)),"")</x:f>
      </x:c>
      <x:c r="G205" s="71" t="str">
        <x:f>IFERROR(INDEX('学校信息'!$G$4:$G$53,MATCH(E205,'学校信息'!$A$4:$A$53,0)),"")</x:f>
      </x:c>
      <x:c r="H205" s="70"/>
      <x:c r="I205" s="70"/>
      <x:c r="J205" s="70"/>
      <x:c r="K205" s="28"/>
      <x:c r="L205" s="28"/>
      <x:c r="M205" s="60" t="str">
        <x:f>IF(COUNTA(A205:E205)+COUNTA(H205:L205)=0,"",IF(OR(A205="",B205="",C205="",D205="",E205="",H205="",I205="",J205="",K205="",L205=""),"缺少必填项",IF(OR(LEN(I205)&lt;&gt;64,LEN(J205)&lt;&gt;64),"SHA457长度应为64",IF(COUNTIF('学校信息'!$A$4:$A$53,E205)=0,"学校ID不存在",IF(COUNTIFS($E$4:$E$503,E205,$A$4:$A$503,A205)&gt;1,"同校全局题目ID重复",IF(COUNTIFS($E$4:$E$503,E205,$H$4:$H$503,H205)&gt;1,"同校本地PID重复",IF(OR(COUNTIFS($A$4:$A$503,A205,$B$4:$B$503,"&lt;&gt;"&amp;B205)&gt;0,COUNTIFS($A$4:$A$503,A205,$C$4:$C$503,"&lt;&gt;"&amp;C205)&gt;0,COUNTIFS($A$4:$A$503,A205,$D$4:$D$503,"&lt;&gt;"&amp;D205)&gt;0,COUNTIFS($A$4:$A$503,A205,$I$4:$I$503,"&lt;&gt;"&amp;I205)&gt;0,COUNTIFS($A$4:$A$503,A205,$J$4:$J$503,"&lt;&gt;"&amp;J205)&gt;0,COUNTIFS($A$4:$A$503,A205,$K$4:$K$503,"&lt;&gt;"&amp;K205)&gt;0,COUNTIFS($A$4:$A$503,A205,$L$4:$L$503,"&lt;&gt;"&amp;L205)&gt;0),"跨校题目配置不一致","通过")))))))</x:f>
      </x:c>
    </x:row>
    <x:row r="206" ht="22" customHeight="1">
      <x:c r="A206" s="70"/>
      <x:c r="B206" s="70"/>
      <x:c r="C206" s="28"/>
      <x:c r="D206" s="28"/>
      <x:c r="E206" s="70"/>
      <x:c r="F206" s="71" t="str">
        <x:f>IFERROR(INDEX('学校信息'!$F$4:$F$53,MATCH(E206,'学校信息'!$A$4:$A$53,0)),"")</x:f>
      </x:c>
      <x:c r="G206" s="71" t="str">
        <x:f>IFERROR(INDEX('学校信息'!$G$4:$G$53,MATCH(E206,'学校信息'!$A$4:$A$53,0)),"")</x:f>
      </x:c>
      <x:c r="H206" s="70"/>
      <x:c r="I206" s="70"/>
      <x:c r="J206" s="70"/>
      <x:c r="K206" s="28"/>
      <x:c r="L206" s="28"/>
      <x:c r="M206" s="60" t="str">
        <x:f>IF(COUNTA(A206:E206)+COUNTA(H206:L206)=0,"",IF(OR(A206="",B206="",C206="",D206="",E206="",H206="",I206="",J206="",K206="",L206=""),"缺少必填项",IF(OR(LEN(I206)&lt;&gt;64,LEN(J206)&lt;&gt;64),"SHA458长度应为64",IF(COUNTIF('学校信息'!$A$4:$A$53,E206)=0,"学校ID不存在",IF(COUNTIFS($E$4:$E$503,E206,$A$4:$A$503,A206)&gt;1,"同校全局题目ID重复",IF(COUNTIFS($E$4:$E$503,E206,$H$4:$H$503,H206)&gt;1,"同校本地PID重复",IF(OR(COUNTIFS($A$4:$A$503,A206,$B$4:$B$503,"&lt;&gt;"&amp;B206)&gt;0,COUNTIFS($A$4:$A$503,A206,$C$4:$C$503,"&lt;&gt;"&amp;C206)&gt;0,COUNTIFS($A$4:$A$503,A206,$D$4:$D$503,"&lt;&gt;"&amp;D206)&gt;0,COUNTIFS($A$4:$A$503,A206,$I$4:$I$503,"&lt;&gt;"&amp;I206)&gt;0,COUNTIFS($A$4:$A$503,A206,$J$4:$J$503,"&lt;&gt;"&amp;J206)&gt;0,COUNTIFS($A$4:$A$503,A206,$K$4:$K$503,"&lt;&gt;"&amp;K206)&gt;0,COUNTIFS($A$4:$A$503,A206,$L$4:$L$503,"&lt;&gt;"&amp;L206)&gt;0),"跨校题目配置不一致","通过")))))))</x:f>
      </x:c>
    </x:row>
    <x:row r="207" ht="22" customHeight="1">
      <x:c r="A207" s="70"/>
      <x:c r="B207" s="70"/>
      <x:c r="C207" s="28"/>
      <x:c r="D207" s="28"/>
      <x:c r="E207" s="70"/>
      <x:c r="F207" s="71" t="str">
        <x:f>IFERROR(INDEX('学校信息'!$F$4:$F$53,MATCH(E207,'学校信息'!$A$4:$A$53,0)),"")</x:f>
      </x:c>
      <x:c r="G207" s="71" t="str">
        <x:f>IFERROR(INDEX('学校信息'!$G$4:$G$53,MATCH(E207,'学校信息'!$A$4:$A$53,0)),"")</x:f>
      </x:c>
      <x:c r="H207" s="70"/>
      <x:c r="I207" s="70"/>
      <x:c r="J207" s="70"/>
      <x:c r="K207" s="28"/>
      <x:c r="L207" s="28"/>
      <x:c r="M207" s="60" t="str">
        <x:f>IF(COUNTA(A207:E207)+COUNTA(H207:L207)=0,"",IF(OR(A207="",B207="",C207="",D207="",E207="",H207="",I207="",J207="",K207="",L207=""),"缺少必填项",IF(OR(LEN(I207)&lt;&gt;64,LEN(J207)&lt;&gt;64),"SHA459长度应为64",IF(COUNTIF('学校信息'!$A$4:$A$53,E207)=0,"学校ID不存在",IF(COUNTIFS($E$4:$E$503,E207,$A$4:$A$503,A207)&gt;1,"同校全局题目ID重复",IF(COUNTIFS($E$4:$E$503,E207,$H$4:$H$503,H207)&gt;1,"同校本地PID重复",IF(OR(COUNTIFS($A$4:$A$503,A207,$B$4:$B$503,"&lt;&gt;"&amp;B207)&gt;0,COUNTIFS($A$4:$A$503,A207,$C$4:$C$503,"&lt;&gt;"&amp;C207)&gt;0,COUNTIFS($A$4:$A$503,A207,$D$4:$D$503,"&lt;&gt;"&amp;D207)&gt;0,COUNTIFS($A$4:$A$503,A207,$I$4:$I$503,"&lt;&gt;"&amp;I207)&gt;0,COUNTIFS($A$4:$A$503,A207,$J$4:$J$503,"&lt;&gt;"&amp;J207)&gt;0,COUNTIFS($A$4:$A$503,A207,$K$4:$K$503,"&lt;&gt;"&amp;K207)&gt;0,COUNTIFS($A$4:$A$503,A207,$L$4:$L$503,"&lt;&gt;"&amp;L207)&gt;0),"跨校题目配置不一致","通过")))))))</x:f>
      </x:c>
    </x:row>
    <x:row r="208" ht="22" customHeight="1">
      <x:c r="A208" s="70"/>
      <x:c r="B208" s="70"/>
      <x:c r="C208" s="28"/>
      <x:c r="D208" s="28"/>
      <x:c r="E208" s="70"/>
      <x:c r="F208" s="71" t="str">
        <x:f>IFERROR(INDEX('学校信息'!$F$4:$F$53,MATCH(E208,'学校信息'!$A$4:$A$53,0)),"")</x:f>
      </x:c>
      <x:c r="G208" s="71" t="str">
        <x:f>IFERROR(INDEX('学校信息'!$G$4:$G$53,MATCH(E208,'学校信息'!$A$4:$A$53,0)),"")</x:f>
      </x:c>
      <x:c r="H208" s="70"/>
      <x:c r="I208" s="70"/>
      <x:c r="J208" s="70"/>
      <x:c r="K208" s="28"/>
      <x:c r="L208" s="28"/>
      <x:c r="M208" s="60" t="str">
        <x:f>IF(COUNTA(A208:E208)+COUNTA(H208:L208)=0,"",IF(OR(A208="",B208="",C208="",D208="",E208="",H208="",I208="",J208="",K208="",L208=""),"缺少必填项",IF(OR(LEN(I208)&lt;&gt;64,LEN(J208)&lt;&gt;64),"SHA460长度应为64",IF(COUNTIF('学校信息'!$A$4:$A$53,E208)=0,"学校ID不存在",IF(COUNTIFS($E$4:$E$503,E208,$A$4:$A$503,A208)&gt;1,"同校全局题目ID重复",IF(COUNTIFS($E$4:$E$503,E208,$H$4:$H$503,H208)&gt;1,"同校本地PID重复",IF(OR(COUNTIFS($A$4:$A$503,A208,$B$4:$B$503,"&lt;&gt;"&amp;B208)&gt;0,COUNTIFS($A$4:$A$503,A208,$C$4:$C$503,"&lt;&gt;"&amp;C208)&gt;0,COUNTIFS($A$4:$A$503,A208,$D$4:$D$503,"&lt;&gt;"&amp;D208)&gt;0,COUNTIFS($A$4:$A$503,A208,$I$4:$I$503,"&lt;&gt;"&amp;I208)&gt;0,COUNTIFS($A$4:$A$503,A208,$J$4:$J$503,"&lt;&gt;"&amp;J208)&gt;0,COUNTIFS($A$4:$A$503,A208,$K$4:$K$503,"&lt;&gt;"&amp;K208)&gt;0,COUNTIFS($A$4:$A$503,A208,$L$4:$L$503,"&lt;&gt;"&amp;L208)&gt;0),"跨校题目配置不一致","通过")))))))</x:f>
      </x:c>
    </x:row>
    <x:row r="209" ht="22" customHeight="1">
      <x:c r="A209" s="70"/>
      <x:c r="B209" s="70"/>
      <x:c r="C209" s="28"/>
      <x:c r="D209" s="28"/>
      <x:c r="E209" s="70"/>
      <x:c r="F209" s="71" t="str">
        <x:f>IFERROR(INDEX('学校信息'!$F$4:$F$53,MATCH(E209,'学校信息'!$A$4:$A$53,0)),"")</x:f>
      </x:c>
      <x:c r="G209" s="71" t="str">
        <x:f>IFERROR(INDEX('学校信息'!$G$4:$G$53,MATCH(E209,'学校信息'!$A$4:$A$53,0)),"")</x:f>
      </x:c>
      <x:c r="H209" s="70"/>
      <x:c r="I209" s="70"/>
      <x:c r="J209" s="70"/>
      <x:c r="K209" s="28"/>
      <x:c r="L209" s="28"/>
      <x:c r="M209" s="60" t="str">
        <x:f>IF(COUNTA(A209:E209)+COUNTA(H209:L209)=0,"",IF(OR(A209="",B209="",C209="",D209="",E209="",H209="",I209="",J209="",K209="",L209=""),"缺少必填项",IF(OR(LEN(I209)&lt;&gt;64,LEN(J209)&lt;&gt;64),"SHA461长度应为64",IF(COUNTIF('学校信息'!$A$4:$A$53,E209)=0,"学校ID不存在",IF(COUNTIFS($E$4:$E$503,E209,$A$4:$A$503,A209)&gt;1,"同校全局题目ID重复",IF(COUNTIFS($E$4:$E$503,E209,$H$4:$H$503,H209)&gt;1,"同校本地PID重复",IF(OR(COUNTIFS($A$4:$A$503,A209,$B$4:$B$503,"&lt;&gt;"&amp;B209)&gt;0,COUNTIFS($A$4:$A$503,A209,$C$4:$C$503,"&lt;&gt;"&amp;C209)&gt;0,COUNTIFS($A$4:$A$503,A209,$D$4:$D$503,"&lt;&gt;"&amp;D209)&gt;0,COUNTIFS($A$4:$A$503,A209,$I$4:$I$503,"&lt;&gt;"&amp;I209)&gt;0,COUNTIFS($A$4:$A$503,A209,$J$4:$J$503,"&lt;&gt;"&amp;J209)&gt;0,COUNTIFS($A$4:$A$503,A209,$K$4:$K$503,"&lt;&gt;"&amp;K209)&gt;0,COUNTIFS($A$4:$A$503,A209,$L$4:$L$503,"&lt;&gt;"&amp;L209)&gt;0),"跨校题目配置不一致","通过")))))))</x:f>
      </x:c>
    </x:row>
    <x:row r="210" ht="22" customHeight="1">
      <x:c r="A210" s="70"/>
      <x:c r="B210" s="70"/>
      <x:c r="C210" s="28"/>
      <x:c r="D210" s="28"/>
      <x:c r="E210" s="70"/>
      <x:c r="F210" s="71" t="str">
        <x:f>IFERROR(INDEX('学校信息'!$F$4:$F$53,MATCH(E210,'学校信息'!$A$4:$A$53,0)),"")</x:f>
      </x:c>
      <x:c r="G210" s="71" t="str">
        <x:f>IFERROR(INDEX('学校信息'!$G$4:$G$53,MATCH(E210,'学校信息'!$A$4:$A$53,0)),"")</x:f>
      </x:c>
      <x:c r="H210" s="70"/>
      <x:c r="I210" s="70"/>
      <x:c r="J210" s="70"/>
      <x:c r="K210" s="28"/>
      <x:c r="L210" s="28"/>
      <x:c r="M210" s="60" t="str">
        <x:f>IF(COUNTA(A210:E210)+COUNTA(H210:L210)=0,"",IF(OR(A210="",B210="",C210="",D210="",E210="",H210="",I210="",J210="",K210="",L210=""),"缺少必填项",IF(OR(LEN(I210)&lt;&gt;64,LEN(J210)&lt;&gt;64),"SHA462长度应为64",IF(COUNTIF('学校信息'!$A$4:$A$53,E210)=0,"学校ID不存在",IF(COUNTIFS($E$4:$E$503,E210,$A$4:$A$503,A210)&gt;1,"同校全局题目ID重复",IF(COUNTIFS($E$4:$E$503,E210,$H$4:$H$503,H210)&gt;1,"同校本地PID重复",IF(OR(COUNTIFS($A$4:$A$503,A210,$B$4:$B$503,"&lt;&gt;"&amp;B210)&gt;0,COUNTIFS($A$4:$A$503,A210,$C$4:$C$503,"&lt;&gt;"&amp;C210)&gt;0,COUNTIFS($A$4:$A$503,A210,$D$4:$D$503,"&lt;&gt;"&amp;D210)&gt;0,COUNTIFS($A$4:$A$503,A210,$I$4:$I$503,"&lt;&gt;"&amp;I210)&gt;0,COUNTIFS($A$4:$A$503,A210,$J$4:$J$503,"&lt;&gt;"&amp;J210)&gt;0,COUNTIFS($A$4:$A$503,A210,$K$4:$K$503,"&lt;&gt;"&amp;K210)&gt;0,COUNTIFS($A$4:$A$503,A210,$L$4:$L$503,"&lt;&gt;"&amp;L210)&gt;0),"跨校题目配置不一致","通过")))))))</x:f>
      </x:c>
    </x:row>
    <x:row r="211" ht="22" customHeight="1">
      <x:c r="A211" s="70"/>
      <x:c r="B211" s="70"/>
      <x:c r="C211" s="28"/>
      <x:c r="D211" s="28"/>
      <x:c r="E211" s="70"/>
      <x:c r="F211" s="71" t="str">
        <x:f>IFERROR(INDEX('学校信息'!$F$4:$F$53,MATCH(E211,'学校信息'!$A$4:$A$53,0)),"")</x:f>
      </x:c>
      <x:c r="G211" s="71" t="str">
        <x:f>IFERROR(INDEX('学校信息'!$G$4:$G$53,MATCH(E211,'学校信息'!$A$4:$A$53,0)),"")</x:f>
      </x:c>
      <x:c r="H211" s="70"/>
      <x:c r="I211" s="70"/>
      <x:c r="J211" s="70"/>
      <x:c r="K211" s="28"/>
      <x:c r="L211" s="28"/>
      <x:c r="M211" s="60" t="str">
        <x:f>IF(COUNTA(A211:E211)+COUNTA(H211:L211)=0,"",IF(OR(A211="",B211="",C211="",D211="",E211="",H211="",I211="",J211="",K211="",L211=""),"缺少必填项",IF(OR(LEN(I211)&lt;&gt;64,LEN(J211)&lt;&gt;64),"SHA463长度应为64",IF(COUNTIF('学校信息'!$A$4:$A$53,E211)=0,"学校ID不存在",IF(COUNTIFS($E$4:$E$503,E211,$A$4:$A$503,A211)&gt;1,"同校全局题目ID重复",IF(COUNTIFS($E$4:$E$503,E211,$H$4:$H$503,H211)&gt;1,"同校本地PID重复",IF(OR(COUNTIFS($A$4:$A$503,A211,$B$4:$B$503,"&lt;&gt;"&amp;B211)&gt;0,COUNTIFS($A$4:$A$503,A211,$C$4:$C$503,"&lt;&gt;"&amp;C211)&gt;0,COUNTIFS($A$4:$A$503,A211,$D$4:$D$503,"&lt;&gt;"&amp;D211)&gt;0,COUNTIFS($A$4:$A$503,A211,$I$4:$I$503,"&lt;&gt;"&amp;I211)&gt;0,COUNTIFS($A$4:$A$503,A211,$J$4:$J$503,"&lt;&gt;"&amp;J211)&gt;0,COUNTIFS($A$4:$A$503,A211,$K$4:$K$503,"&lt;&gt;"&amp;K211)&gt;0,COUNTIFS($A$4:$A$503,A211,$L$4:$L$503,"&lt;&gt;"&amp;L211)&gt;0),"跨校题目配置不一致","通过")))))))</x:f>
      </x:c>
    </x:row>
    <x:row r="212" ht="22" customHeight="1">
      <x:c r="A212" s="70"/>
      <x:c r="B212" s="70"/>
      <x:c r="C212" s="28"/>
      <x:c r="D212" s="28"/>
      <x:c r="E212" s="70"/>
      <x:c r="F212" s="71" t="str">
        <x:f>IFERROR(INDEX('学校信息'!$F$4:$F$53,MATCH(E212,'学校信息'!$A$4:$A$53,0)),"")</x:f>
      </x:c>
      <x:c r="G212" s="71" t="str">
        <x:f>IFERROR(INDEX('学校信息'!$G$4:$G$53,MATCH(E212,'学校信息'!$A$4:$A$53,0)),"")</x:f>
      </x:c>
      <x:c r="H212" s="70"/>
      <x:c r="I212" s="70"/>
      <x:c r="J212" s="70"/>
      <x:c r="K212" s="28"/>
      <x:c r="L212" s="28"/>
      <x:c r="M212" s="60" t="str">
        <x:f>IF(COUNTA(A212:E212)+COUNTA(H212:L212)=0,"",IF(OR(A212="",B212="",C212="",D212="",E212="",H212="",I212="",J212="",K212="",L212=""),"缺少必填项",IF(OR(LEN(I212)&lt;&gt;64,LEN(J212)&lt;&gt;64),"SHA464长度应为64",IF(COUNTIF('学校信息'!$A$4:$A$53,E212)=0,"学校ID不存在",IF(COUNTIFS($E$4:$E$503,E212,$A$4:$A$503,A212)&gt;1,"同校全局题目ID重复",IF(COUNTIFS($E$4:$E$503,E212,$H$4:$H$503,H212)&gt;1,"同校本地PID重复",IF(OR(COUNTIFS($A$4:$A$503,A212,$B$4:$B$503,"&lt;&gt;"&amp;B212)&gt;0,COUNTIFS($A$4:$A$503,A212,$C$4:$C$503,"&lt;&gt;"&amp;C212)&gt;0,COUNTIFS($A$4:$A$503,A212,$D$4:$D$503,"&lt;&gt;"&amp;D212)&gt;0,COUNTIFS($A$4:$A$503,A212,$I$4:$I$503,"&lt;&gt;"&amp;I212)&gt;0,COUNTIFS($A$4:$A$503,A212,$J$4:$J$503,"&lt;&gt;"&amp;J212)&gt;0,COUNTIFS($A$4:$A$503,A212,$K$4:$K$503,"&lt;&gt;"&amp;K212)&gt;0,COUNTIFS($A$4:$A$503,A212,$L$4:$L$503,"&lt;&gt;"&amp;L212)&gt;0),"跨校题目配置不一致","通过")))))))</x:f>
      </x:c>
    </x:row>
    <x:row r="213" ht="22" customHeight="1">
      <x:c r="A213" s="70"/>
      <x:c r="B213" s="70"/>
      <x:c r="C213" s="28"/>
      <x:c r="D213" s="28"/>
      <x:c r="E213" s="70"/>
      <x:c r="F213" s="71" t="str">
        <x:f>IFERROR(INDEX('学校信息'!$F$4:$F$53,MATCH(E213,'学校信息'!$A$4:$A$53,0)),"")</x:f>
      </x:c>
      <x:c r="G213" s="71" t="str">
        <x:f>IFERROR(INDEX('学校信息'!$G$4:$G$53,MATCH(E213,'学校信息'!$A$4:$A$53,0)),"")</x:f>
      </x:c>
      <x:c r="H213" s="70"/>
      <x:c r="I213" s="70"/>
      <x:c r="J213" s="70"/>
      <x:c r="K213" s="28"/>
      <x:c r="L213" s="28"/>
      <x:c r="M213" s="60" t="str">
        <x:f>IF(COUNTA(A213:E213)+COUNTA(H213:L213)=0,"",IF(OR(A213="",B213="",C213="",D213="",E213="",H213="",I213="",J213="",K213="",L213=""),"缺少必填项",IF(OR(LEN(I213)&lt;&gt;64,LEN(J213)&lt;&gt;64),"SHA465长度应为64",IF(COUNTIF('学校信息'!$A$4:$A$53,E213)=0,"学校ID不存在",IF(COUNTIFS($E$4:$E$503,E213,$A$4:$A$503,A213)&gt;1,"同校全局题目ID重复",IF(COUNTIFS($E$4:$E$503,E213,$H$4:$H$503,H213)&gt;1,"同校本地PID重复",IF(OR(COUNTIFS($A$4:$A$503,A213,$B$4:$B$503,"&lt;&gt;"&amp;B213)&gt;0,COUNTIFS($A$4:$A$503,A213,$C$4:$C$503,"&lt;&gt;"&amp;C213)&gt;0,COUNTIFS($A$4:$A$503,A213,$D$4:$D$503,"&lt;&gt;"&amp;D213)&gt;0,COUNTIFS($A$4:$A$503,A213,$I$4:$I$503,"&lt;&gt;"&amp;I213)&gt;0,COUNTIFS($A$4:$A$503,A213,$J$4:$J$503,"&lt;&gt;"&amp;J213)&gt;0,COUNTIFS($A$4:$A$503,A213,$K$4:$K$503,"&lt;&gt;"&amp;K213)&gt;0,COUNTIFS($A$4:$A$503,A213,$L$4:$L$503,"&lt;&gt;"&amp;L213)&gt;0),"跨校题目配置不一致","通过")))))))</x:f>
      </x:c>
    </x:row>
    <x:row r="214" ht="22" customHeight="1">
      <x:c r="A214" s="70"/>
      <x:c r="B214" s="70"/>
      <x:c r="C214" s="28"/>
      <x:c r="D214" s="28"/>
      <x:c r="E214" s="70"/>
      <x:c r="F214" s="71" t="str">
        <x:f>IFERROR(INDEX('学校信息'!$F$4:$F$53,MATCH(E214,'学校信息'!$A$4:$A$53,0)),"")</x:f>
      </x:c>
      <x:c r="G214" s="71" t="str">
        <x:f>IFERROR(INDEX('学校信息'!$G$4:$G$53,MATCH(E214,'学校信息'!$A$4:$A$53,0)),"")</x:f>
      </x:c>
      <x:c r="H214" s="70"/>
      <x:c r="I214" s="70"/>
      <x:c r="J214" s="70"/>
      <x:c r="K214" s="28"/>
      <x:c r="L214" s="28"/>
      <x:c r="M214" s="60" t="str">
        <x:f>IF(COUNTA(A214:E214)+COUNTA(H214:L214)=0,"",IF(OR(A214="",B214="",C214="",D214="",E214="",H214="",I214="",J214="",K214="",L214=""),"缺少必填项",IF(OR(LEN(I214)&lt;&gt;64,LEN(J214)&lt;&gt;64),"SHA466长度应为64",IF(COUNTIF('学校信息'!$A$4:$A$53,E214)=0,"学校ID不存在",IF(COUNTIFS($E$4:$E$503,E214,$A$4:$A$503,A214)&gt;1,"同校全局题目ID重复",IF(COUNTIFS($E$4:$E$503,E214,$H$4:$H$503,H214)&gt;1,"同校本地PID重复",IF(OR(COUNTIFS($A$4:$A$503,A214,$B$4:$B$503,"&lt;&gt;"&amp;B214)&gt;0,COUNTIFS($A$4:$A$503,A214,$C$4:$C$503,"&lt;&gt;"&amp;C214)&gt;0,COUNTIFS($A$4:$A$503,A214,$D$4:$D$503,"&lt;&gt;"&amp;D214)&gt;0,COUNTIFS($A$4:$A$503,A214,$I$4:$I$503,"&lt;&gt;"&amp;I214)&gt;0,COUNTIFS($A$4:$A$503,A214,$J$4:$J$503,"&lt;&gt;"&amp;J214)&gt;0,COUNTIFS($A$4:$A$503,A214,$K$4:$K$503,"&lt;&gt;"&amp;K214)&gt;0,COUNTIFS($A$4:$A$503,A214,$L$4:$L$503,"&lt;&gt;"&amp;L214)&gt;0),"跨校题目配置不一致","通过")))))))</x:f>
      </x:c>
    </x:row>
    <x:row r="215" ht="22" customHeight="1">
      <x:c r="A215" s="70"/>
      <x:c r="B215" s="70"/>
      <x:c r="C215" s="28"/>
      <x:c r="D215" s="28"/>
      <x:c r="E215" s="70"/>
      <x:c r="F215" s="71" t="str">
        <x:f>IFERROR(INDEX('学校信息'!$F$4:$F$53,MATCH(E215,'学校信息'!$A$4:$A$53,0)),"")</x:f>
      </x:c>
      <x:c r="G215" s="71" t="str">
        <x:f>IFERROR(INDEX('学校信息'!$G$4:$G$53,MATCH(E215,'学校信息'!$A$4:$A$53,0)),"")</x:f>
      </x:c>
      <x:c r="H215" s="70"/>
      <x:c r="I215" s="70"/>
      <x:c r="J215" s="70"/>
      <x:c r="K215" s="28"/>
      <x:c r="L215" s="28"/>
      <x:c r="M215" s="60" t="str">
        <x:f>IF(COUNTA(A215:E215)+COUNTA(H215:L215)=0,"",IF(OR(A215="",B215="",C215="",D215="",E215="",H215="",I215="",J215="",K215="",L215=""),"缺少必填项",IF(OR(LEN(I215)&lt;&gt;64,LEN(J215)&lt;&gt;64),"SHA467长度应为64",IF(COUNTIF('学校信息'!$A$4:$A$53,E215)=0,"学校ID不存在",IF(COUNTIFS($E$4:$E$503,E215,$A$4:$A$503,A215)&gt;1,"同校全局题目ID重复",IF(COUNTIFS($E$4:$E$503,E215,$H$4:$H$503,H215)&gt;1,"同校本地PID重复",IF(OR(COUNTIFS($A$4:$A$503,A215,$B$4:$B$503,"&lt;&gt;"&amp;B215)&gt;0,COUNTIFS($A$4:$A$503,A215,$C$4:$C$503,"&lt;&gt;"&amp;C215)&gt;0,COUNTIFS($A$4:$A$503,A215,$D$4:$D$503,"&lt;&gt;"&amp;D215)&gt;0,COUNTIFS($A$4:$A$503,A215,$I$4:$I$503,"&lt;&gt;"&amp;I215)&gt;0,COUNTIFS($A$4:$A$503,A215,$J$4:$J$503,"&lt;&gt;"&amp;J215)&gt;0,COUNTIFS($A$4:$A$503,A215,$K$4:$K$503,"&lt;&gt;"&amp;K215)&gt;0,COUNTIFS($A$4:$A$503,A215,$L$4:$L$503,"&lt;&gt;"&amp;L215)&gt;0),"跨校题目配置不一致","通过")))))))</x:f>
      </x:c>
    </x:row>
    <x:row r="216" ht="22" customHeight="1">
      <x:c r="A216" s="70"/>
      <x:c r="B216" s="70"/>
      <x:c r="C216" s="28"/>
      <x:c r="D216" s="28"/>
      <x:c r="E216" s="70"/>
      <x:c r="F216" s="71" t="str">
        <x:f>IFERROR(INDEX('学校信息'!$F$4:$F$53,MATCH(E216,'学校信息'!$A$4:$A$53,0)),"")</x:f>
      </x:c>
      <x:c r="G216" s="71" t="str">
        <x:f>IFERROR(INDEX('学校信息'!$G$4:$G$53,MATCH(E216,'学校信息'!$A$4:$A$53,0)),"")</x:f>
      </x:c>
      <x:c r="H216" s="70"/>
      <x:c r="I216" s="70"/>
      <x:c r="J216" s="70"/>
      <x:c r="K216" s="28"/>
      <x:c r="L216" s="28"/>
      <x:c r="M216" s="60" t="str">
        <x:f>IF(COUNTA(A216:E216)+COUNTA(H216:L216)=0,"",IF(OR(A216="",B216="",C216="",D216="",E216="",H216="",I216="",J216="",K216="",L216=""),"缺少必填项",IF(OR(LEN(I216)&lt;&gt;64,LEN(J216)&lt;&gt;64),"SHA468长度应为64",IF(COUNTIF('学校信息'!$A$4:$A$53,E216)=0,"学校ID不存在",IF(COUNTIFS($E$4:$E$503,E216,$A$4:$A$503,A216)&gt;1,"同校全局题目ID重复",IF(COUNTIFS($E$4:$E$503,E216,$H$4:$H$503,H216)&gt;1,"同校本地PID重复",IF(OR(COUNTIFS($A$4:$A$503,A216,$B$4:$B$503,"&lt;&gt;"&amp;B216)&gt;0,COUNTIFS($A$4:$A$503,A216,$C$4:$C$503,"&lt;&gt;"&amp;C216)&gt;0,COUNTIFS($A$4:$A$503,A216,$D$4:$D$503,"&lt;&gt;"&amp;D216)&gt;0,COUNTIFS($A$4:$A$503,A216,$I$4:$I$503,"&lt;&gt;"&amp;I216)&gt;0,COUNTIFS($A$4:$A$503,A216,$J$4:$J$503,"&lt;&gt;"&amp;J216)&gt;0,COUNTIFS($A$4:$A$503,A216,$K$4:$K$503,"&lt;&gt;"&amp;K216)&gt;0,COUNTIFS($A$4:$A$503,A216,$L$4:$L$503,"&lt;&gt;"&amp;L216)&gt;0),"跨校题目配置不一致","通过")))))))</x:f>
      </x:c>
    </x:row>
    <x:row r="217" ht="22" customHeight="1">
      <x:c r="A217" s="70"/>
      <x:c r="B217" s="70"/>
      <x:c r="C217" s="28"/>
      <x:c r="D217" s="28"/>
      <x:c r="E217" s="70"/>
      <x:c r="F217" s="71" t="str">
        <x:f>IFERROR(INDEX('学校信息'!$F$4:$F$53,MATCH(E217,'学校信息'!$A$4:$A$53,0)),"")</x:f>
      </x:c>
      <x:c r="G217" s="71" t="str">
        <x:f>IFERROR(INDEX('学校信息'!$G$4:$G$53,MATCH(E217,'学校信息'!$A$4:$A$53,0)),"")</x:f>
      </x:c>
      <x:c r="H217" s="70"/>
      <x:c r="I217" s="70"/>
      <x:c r="J217" s="70"/>
      <x:c r="K217" s="28"/>
      <x:c r="L217" s="28"/>
      <x:c r="M217" s="60" t="str">
        <x:f>IF(COUNTA(A217:E217)+COUNTA(H217:L217)=0,"",IF(OR(A217="",B217="",C217="",D217="",E217="",H217="",I217="",J217="",K217="",L217=""),"缺少必填项",IF(OR(LEN(I217)&lt;&gt;64,LEN(J217)&lt;&gt;64),"SHA469长度应为64",IF(COUNTIF('学校信息'!$A$4:$A$53,E217)=0,"学校ID不存在",IF(COUNTIFS($E$4:$E$503,E217,$A$4:$A$503,A217)&gt;1,"同校全局题目ID重复",IF(COUNTIFS($E$4:$E$503,E217,$H$4:$H$503,H217)&gt;1,"同校本地PID重复",IF(OR(COUNTIFS($A$4:$A$503,A217,$B$4:$B$503,"&lt;&gt;"&amp;B217)&gt;0,COUNTIFS($A$4:$A$503,A217,$C$4:$C$503,"&lt;&gt;"&amp;C217)&gt;0,COUNTIFS($A$4:$A$503,A217,$D$4:$D$503,"&lt;&gt;"&amp;D217)&gt;0,COUNTIFS($A$4:$A$503,A217,$I$4:$I$503,"&lt;&gt;"&amp;I217)&gt;0,COUNTIFS($A$4:$A$503,A217,$J$4:$J$503,"&lt;&gt;"&amp;J217)&gt;0,COUNTIFS($A$4:$A$503,A217,$K$4:$K$503,"&lt;&gt;"&amp;K217)&gt;0,COUNTIFS($A$4:$A$503,A217,$L$4:$L$503,"&lt;&gt;"&amp;L217)&gt;0),"跨校题目配置不一致","通过")))))))</x:f>
      </x:c>
    </x:row>
    <x:row r="218" ht="22" customHeight="1">
      <x:c r="A218" s="70"/>
      <x:c r="B218" s="70"/>
      <x:c r="C218" s="28"/>
      <x:c r="D218" s="28"/>
      <x:c r="E218" s="70"/>
      <x:c r="F218" s="71" t="str">
        <x:f>IFERROR(INDEX('学校信息'!$F$4:$F$53,MATCH(E218,'学校信息'!$A$4:$A$53,0)),"")</x:f>
      </x:c>
      <x:c r="G218" s="71" t="str">
        <x:f>IFERROR(INDEX('学校信息'!$G$4:$G$53,MATCH(E218,'学校信息'!$A$4:$A$53,0)),"")</x:f>
      </x:c>
      <x:c r="H218" s="70"/>
      <x:c r="I218" s="70"/>
      <x:c r="J218" s="70"/>
      <x:c r="K218" s="28"/>
      <x:c r="L218" s="28"/>
      <x:c r="M218" s="60" t="str">
        <x:f>IF(COUNTA(A218:E218)+COUNTA(H218:L218)=0,"",IF(OR(A218="",B218="",C218="",D218="",E218="",H218="",I218="",J218="",K218="",L218=""),"缺少必填项",IF(OR(LEN(I218)&lt;&gt;64,LEN(J218)&lt;&gt;64),"SHA470长度应为64",IF(COUNTIF('学校信息'!$A$4:$A$53,E218)=0,"学校ID不存在",IF(COUNTIFS($E$4:$E$503,E218,$A$4:$A$503,A218)&gt;1,"同校全局题目ID重复",IF(COUNTIFS($E$4:$E$503,E218,$H$4:$H$503,H218)&gt;1,"同校本地PID重复",IF(OR(COUNTIFS($A$4:$A$503,A218,$B$4:$B$503,"&lt;&gt;"&amp;B218)&gt;0,COUNTIFS($A$4:$A$503,A218,$C$4:$C$503,"&lt;&gt;"&amp;C218)&gt;0,COUNTIFS($A$4:$A$503,A218,$D$4:$D$503,"&lt;&gt;"&amp;D218)&gt;0,COUNTIFS($A$4:$A$503,A218,$I$4:$I$503,"&lt;&gt;"&amp;I218)&gt;0,COUNTIFS($A$4:$A$503,A218,$J$4:$J$503,"&lt;&gt;"&amp;J218)&gt;0,COUNTIFS($A$4:$A$503,A218,$K$4:$K$503,"&lt;&gt;"&amp;K218)&gt;0,COUNTIFS($A$4:$A$503,A218,$L$4:$L$503,"&lt;&gt;"&amp;L218)&gt;0),"跨校题目配置不一致","通过")))))))</x:f>
      </x:c>
    </x:row>
    <x:row r="219" ht="22" customHeight="1">
      <x:c r="A219" s="70"/>
      <x:c r="B219" s="70"/>
      <x:c r="C219" s="28"/>
      <x:c r="D219" s="28"/>
      <x:c r="E219" s="70"/>
      <x:c r="F219" s="71" t="str">
        <x:f>IFERROR(INDEX('学校信息'!$F$4:$F$53,MATCH(E219,'学校信息'!$A$4:$A$53,0)),"")</x:f>
      </x:c>
      <x:c r="G219" s="71" t="str">
        <x:f>IFERROR(INDEX('学校信息'!$G$4:$G$53,MATCH(E219,'学校信息'!$A$4:$A$53,0)),"")</x:f>
      </x:c>
      <x:c r="H219" s="70"/>
      <x:c r="I219" s="70"/>
      <x:c r="J219" s="70"/>
      <x:c r="K219" s="28"/>
      <x:c r="L219" s="28"/>
      <x:c r="M219" s="60" t="str">
        <x:f>IF(COUNTA(A219:E219)+COUNTA(H219:L219)=0,"",IF(OR(A219="",B219="",C219="",D219="",E219="",H219="",I219="",J219="",K219="",L219=""),"缺少必填项",IF(OR(LEN(I219)&lt;&gt;64,LEN(J219)&lt;&gt;64),"SHA471长度应为64",IF(COUNTIF('学校信息'!$A$4:$A$53,E219)=0,"学校ID不存在",IF(COUNTIFS($E$4:$E$503,E219,$A$4:$A$503,A219)&gt;1,"同校全局题目ID重复",IF(COUNTIFS($E$4:$E$503,E219,$H$4:$H$503,H219)&gt;1,"同校本地PID重复",IF(OR(COUNTIFS($A$4:$A$503,A219,$B$4:$B$503,"&lt;&gt;"&amp;B219)&gt;0,COUNTIFS($A$4:$A$503,A219,$C$4:$C$503,"&lt;&gt;"&amp;C219)&gt;0,COUNTIFS($A$4:$A$503,A219,$D$4:$D$503,"&lt;&gt;"&amp;D219)&gt;0,COUNTIFS($A$4:$A$503,A219,$I$4:$I$503,"&lt;&gt;"&amp;I219)&gt;0,COUNTIFS($A$4:$A$503,A219,$J$4:$J$503,"&lt;&gt;"&amp;J219)&gt;0,COUNTIFS($A$4:$A$503,A219,$K$4:$K$503,"&lt;&gt;"&amp;K219)&gt;0,COUNTIFS($A$4:$A$503,A219,$L$4:$L$503,"&lt;&gt;"&amp;L219)&gt;0),"跨校题目配置不一致","通过")))))))</x:f>
      </x:c>
    </x:row>
    <x:row r="220" ht="22" customHeight="1">
      <x:c r="A220" s="70"/>
      <x:c r="B220" s="70"/>
      <x:c r="C220" s="28"/>
      <x:c r="D220" s="28"/>
      <x:c r="E220" s="70"/>
      <x:c r="F220" s="71" t="str">
        <x:f>IFERROR(INDEX('学校信息'!$F$4:$F$53,MATCH(E220,'学校信息'!$A$4:$A$53,0)),"")</x:f>
      </x:c>
      <x:c r="G220" s="71" t="str">
        <x:f>IFERROR(INDEX('学校信息'!$G$4:$G$53,MATCH(E220,'学校信息'!$A$4:$A$53,0)),"")</x:f>
      </x:c>
      <x:c r="H220" s="70"/>
      <x:c r="I220" s="70"/>
      <x:c r="J220" s="70"/>
      <x:c r="K220" s="28"/>
      <x:c r="L220" s="28"/>
      <x:c r="M220" s="60" t="str">
        <x:f>IF(COUNTA(A220:E220)+COUNTA(H220:L220)=0,"",IF(OR(A220="",B220="",C220="",D220="",E220="",H220="",I220="",J220="",K220="",L220=""),"缺少必填项",IF(OR(LEN(I220)&lt;&gt;64,LEN(J220)&lt;&gt;64),"SHA472长度应为64",IF(COUNTIF('学校信息'!$A$4:$A$53,E220)=0,"学校ID不存在",IF(COUNTIFS($E$4:$E$503,E220,$A$4:$A$503,A220)&gt;1,"同校全局题目ID重复",IF(COUNTIFS($E$4:$E$503,E220,$H$4:$H$503,H220)&gt;1,"同校本地PID重复",IF(OR(COUNTIFS($A$4:$A$503,A220,$B$4:$B$503,"&lt;&gt;"&amp;B220)&gt;0,COUNTIFS($A$4:$A$503,A220,$C$4:$C$503,"&lt;&gt;"&amp;C220)&gt;0,COUNTIFS($A$4:$A$503,A220,$D$4:$D$503,"&lt;&gt;"&amp;D220)&gt;0,COUNTIFS($A$4:$A$503,A220,$I$4:$I$503,"&lt;&gt;"&amp;I220)&gt;0,COUNTIFS($A$4:$A$503,A220,$J$4:$J$503,"&lt;&gt;"&amp;J220)&gt;0,COUNTIFS($A$4:$A$503,A220,$K$4:$K$503,"&lt;&gt;"&amp;K220)&gt;0,COUNTIFS($A$4:$A$503,A220,$L$4:$L$503,"&lt;&gt;"&amp;L220)&gt;0),"跨校题目配置不一致","通过")))))))</x:f>
      </x:c>
    </x:row>
    <x:row r="221" ht="22" customHeight="1">
      <x:c r="A221" s="70"/>
      <x:c r="B221" s="70"/>
      <x:c r="C221" s="28"/>
      <x:c r="D221" s="28"/>
      <x:c r="E221" s="70"/>
      <x:c r="F221" s="71" t="str">
        <x:f>IFERROR(INDEX('学校信息'!$F$4:$F$53,MATCH(E221,'学校信息'!$A$4:$A$53,0)),"")</x:f>
      </x:c>
      <x:c r="G221" s="71" t="str">
        <x:f>IFERROR(INDEX('学校信息'!$G$4:$G$53,MATCH(E221,'学校信息'!$A$4:$A$53,0)),"")</x:f>
      </x:c>
      <x:c r="H221" s="70"/>
      <x:c r="I221" s="70"/>
      <x:c r="J221" s="70"/>
      <x:c r="K221" s="28"/>
      <x:c r="L221" s="28"/>
      <x:c r="M221" s="60" t="str">
        <x:f>IF(COUNTA(A221:E221)+COUNTA(H221:L221)=0,"",IF(OR(A221="",B221="",C221="",D221="",E221="",H221="",I221="",J221="",K221="",L221=""),"缺少必填项",IF(OR(LEN(I221)&lt;&gt;64,LEN(J221)&lt;&gt;64),"SHA473长度应为64",IF(COUNTIF('学校信息'!$A$4:$A$53,E221)=0,"学校ID不存在",IF(COUNTIFS($E$4:$E$503,E221,$A$4:$A$503,A221)&gt;1,"同校全局题目ID重复",IF(COUNTIFS($E$4:$E$503,E221,$H$4:$H$503,H221)&gt;1,"同校本地PID重复",IF(OR(COUNTIFS($A$4:$A$503,A221,$B$4:$B$503,"&lt;&gt;"&amp;B221)&gt;0,COUNTIFS($A$4:$A$503,A221,$C$4:$C$503,"&lt;&gt;"&amp;C221)&gt;0,COUNTIFS($A$4:$A$503,A221,$D$4:$D$503,"&lt;&gt;"&amp;D221)&gt;0,COUNTIFS($A$4:$A$503,A221,$I$4:$I$503,"&lt;&gt;"&amp;I221)&gt;0,COUNTIFS($A$4:$A$503,A221,$J$4:$J$503,"&lt;&gt;"&amp;J221)&gt;0,COUNTIFS($A$4:$A$503,A221,$K$4:$K$503,"&lt;&gt;"&amp;K221)&gt;0,COUNTIFS($A$4:$A$503,A221,$L$4:$L$503,"&lt;&gt;"&amp;L221)&gt;0),"跨校题目配置不一致","通过")))))))</x:f>
      </x:c>
    </x:row>
    <x:row r="222" ht="22" customHeight="1">
      <x:c r="A222" s="70"/>
      <x:c r="B222" s="70"/>
      <x:c r="C222" s="28"/>
      <x:c r="D222" s="28"/>
      <x:c r="E222" s="70"/>
      <x:c r="F222" s="71" t="str">
        <x:f>IFERROR(INDEX('学校信息'!$F$4:$F$53,MATCH(E222,'学校信息'!$A$4:$A$53,0)),"")</x:f>
      </x:c>
      <x:c r="G222" s="71" t="str">
        <x:f>IFERROR(INDEX('学校信息'!$G$4:$G$53,MATCH(E222,'学校信息'!$A$4:$A$53,0)),"")</x:f>
      </x:c>
      <x:c r="H222" s="70"/>
      <x:c r="I222" s="70"/>
      <x:c r="J222" s="70"/>
      <x:c r="K222" s="28"/>
      <x:c r="L222" s="28"/>
      <x:c r="M222" s="60" t="str">
        <x:f>IF(COUNTA(A222:E222)+COUNTA(H222:L222)=0,"",IF(OR(A222="",B222="",C222="",D222="",E222="",H222="",I222="",J222="",K222="",L222=""),"缺少必填项",IF(OR(LEN(I222)&lt;&gt;64,LEN(J222)&lt;&gt;64),"SHA474长度应为64",IF(COUNTIF('学校信息'!$A$4:$A$53,E222)=0,"学校ID不存在",IF(COUNTIFS($E$4:$E$503,E222,$A$4:$A$503,A222)&gt;1,"同校全局题目ID重复",IF(COUNTIFS($E$4:$E$503,E222,$H$4:$H$503,H222)&gt;1,"同校本地PID重复",IF(OR(COUNTIFS($A$4:$A$503,A222,$B$4:$B$503,"&lt;&gt;"&amp;B222)&gt;0,COUNTIFS($A$4:$A$503,A222,$C$4:$C$503,"&lt;&gt;"&amp;C222)&gt;0,COUNTIFS($A$4:$A$503,A222,$D$4:$D$503,"&lt;&gt;"&amp;D222)&gt;0,COUNTIFS($A$4:$A$503,A222,$I$4:$I$503,"&lt;&gt;"&amp;I222)&gt;0,COUNTIFS($A$4:$A$503,A222,$J$4:$J$503,"&lt;&gt;"&amp;J222)&gt;0,COUNTIFS($A$4:$A$503,A222,$K$4:$K$503,"&lt;&gt;"&amp;K222)&gt;0,COUNTIFS($A$4:$A$503,A222,$L$4:$L$503,"&lt;&gt;"&amp;L222)&gt;0),"跨校题目配置不一致","通过")))))))</x:f>
      </x:c>
    </x:row>
    <x:row r="223" ht="22" customHeight="1">
      <x:c r="A223" s="70"/>
      <x:c r="B223" s="70"/>
      <x:c r="C223" s="28"/>
      <x:c r="D223" s="28"/>
      <x:c r="E223" s="70"/>
      <x:c r="F223" s="71" t="str">
        <x:f>IFERROR(INDEX('学校信息'!$F$4:$F$53,MATCH(E223,'学校信息'!$A$4:$A$53,0)),"")</x:f>
      </x:c>
      <x:c r="G223" s="71" t="str">
        <x:f>IFERROR(INDEX('学校信息'!$G$4:$G$53,MATCH(E223,'学校信息'!$A$4:$A$53,0)),"")</x:f>
      </x:c>
      <x:c r="H223" s="70"/>
      <x:c r="I223" s="70"/>
      <x:c r="J223" s="70"/>
      <x:c r="K223" s="28"/>
      <x:c r="L223" s="28"/>
      <x:c r="M223" s="60" t="str">
        <x:f>IF(COUNTA(A223:E223)+COUNTA(H223:L223)=0,"",IF(OR(A223="",B223="",C223="",D223="",E223="",H223="",I223="",J223="",K223="",L223=""),"缺少必填项",IF(OR(LEN(I223)&lt;&gt;64,LEN(J223)&lt;&gt;64),"SHA475长度应为64",IF(COUNTIF('学校信息'!$A$4:$A$53,E223)=0,"学校ID不存在",IF(COUNTIFS($E$4:$E$503,E223,$A$4:$A$503,A223)&gt;1,"同校全局题目ID重复",IF(COUNTIFS($E$4:$E$503,E223,$H$4:$H$503,H223)&gt;1,"同校本地PID重复",IF(OR(COUNTIFS($A$4:$A$503,A223,$B$4:$B$503,"&lt;&gt;"&amp;B223)&gt;0,COUNTIFS($A$4:$A$503,A223,$C$4:$C$503,"&lt;&gt;"&amp;C223)&gt;0,COUNTIFS($A$4:$A$503,A223,$D$4:$D$503,"&lt;&gt;"&amp;D223)&gt;0,COUNTIFS($A$4:$A$503,A223,$I$4:$I$503,"&lt;&gt;"&amp;I223)&gt;0,COUNTIFS($A$4:$A$503,A223,$J$4:$J$503,"&lt;&gt;"&amp;J223)&gt;0,COUNTIFS($A$4:$A$503,A223,$K$4:$K$503,"&lt;&gt;"&amp;K223)&gt;0,COUNTIFS($A$4:$A$503,A223,$L$4:$L$503,"&lt;&gt;"&amp;L223)&gt;0),"跨校题目配置不一致","通过")))))))</x:f>
      </x:c>
    </x:row>
    <x:row r="224" ht="22" customHeight="1">
      <x:c r="A224" s="70"/>
      <x:c r="B224" s="70"/>
      <x:c r="C224" s="28"/>
      <x:c r="D224" s="28"/>
      <x:c r="E224" s="70"/>
      <x:c r="F224" s="71" t="str">
        <x:f>IFERROR(INDEX('学校信息'!$F$4:$F$53,MATCH(E224,'学校信息'!$A$4:$A$53,0)),"")</x:f>
      </x:c>
      <x:c r="G224" s="71" t="str">
        <x:f>IFERROR(INDEX('学校信息'!$G$4:$G$53,MATCH(E224,'学校信息'!$A$4:$A$53,0)),"")</x:f>
      </x:c>
      <x:c r="H224" s="70"/>
      <x:c r="I224" s="70"/>
      <x:c r="J224" s="70"/>
      <x:c r="K224" s="28"/>
      <x:c r="L224" s="28"/>
      <x:c r="M224" s="60" t="str">
        <x:f>IF(COUNTA(A224:E224)+COUNTA(H224:L224)=0,"",IF(OR(A224="",B224="",C224="",D224="",E224="",H224="",I224="",J224="",K224="",L224=""),"缺少必填项",IF(OR(LEN(I224)&lt;&gt;64,LEN(J224)&lt;&gt;64),"SHA476长度应为64",IF(COUNTIF('学校信息'!$A$4:$A$53,E224)=0,"学校ID不存在",IF(COUNTIFS($E$4:$E$503,E224,$A$4:$A$503,A224)&gt;1,"同校全局题目ID重复",IF(COUNTIFS($E$4:$E$503,E224,$H$4:$H$503,H224)&gt;1,"同校本地PID重复",IF(OR(COUNTIFS($A$4:$A$503,A224,$B$4:$B$503,"&lt;&gt;"&amp;B224)&gt;0,COUNTIFS($A$4:$A$503,A224,$C$4:$C$503,"&lt;&gt;"&amp;C224)&gt;0,COUNTIFS($A$4:$A$503,A224,$D$4:$D$503,"&lt;&gt;"&amp;D224)&gt;0,COUNTIFS($A$4:$A$503,A224,$I$4:$I$503,"&lt;&gt;"&amp;I224)&gt;0,COUNTIFS($A$4:$A$503,A224,$J$4:$J$503,"&lt;&gt;"&amp;J224)&gt;0,COUNTIFS($A$4:$A$503,A224,$K$4:$K$503,"&lt;&gt;"&amp;K224)&gt;0,COUNTIFS($A$4:$A$503,A224,$L$4:$L$503,"&lt;&gt;"&amp;L224)&gt;0),"跨校题目配置不一致","通过")))))))</x:f>
      </x:c>
    </x:row>
    <x:row r="225" ht="22" customHeight="1">
      <x:c r="A225" s="70"/>
      <x:c r="B225" s="70"/>
      <x:c r="C225" s="28"/>
      <x:c r="D225" s="28"/>
      <x:c r="E225" s="70"/>
      <x:c r="F225" s="71" t="str">
        <x:f>IFERROR(INDEX('学校信息'!$F$4:$F$53,MATCH(E225,'学校信息'!$A$4:$A$53,0)),"")</x:f>
      </x:c>
      <x:c r="G225" s="71" t="str">
        <x:f>IFERROR(INDEX('学校信息'!$G$4:$G$53,MATCH(E225,'学校信息'!$A$4:$A$53,0)),"")</x:f>
      </x:c>
      <x:c r="H225" s="70"/>
      <x:c r="I225" s="70"/>
      <x:c r="J225" s="70"/>
      <x:c r="K225" s="28"/>
      <x:c r="L225" s="28"/>
      <x:c r="M225" s="60" t="str">
        <x:f>IF(COUNTA(A225:E225)+COUNTA(H225:L225)=0,"",IF(OR(A225="",B225="",C225="",D225="",E225="",H225="",I225="",J225="",K225="",L225=""),"缺少必填项",IF(OR(LEN(I225)&lt;&gt;64,LEN(J225)&lt;&gt;64),"SHA477长度应为64",IF(COUNTIF('学校信息'!$A$4:$A$53,E225)=0,"学校ID不存在",IF(COUNTIFS($E$4:$E$503,E225,$A$4:$A$503,A225)&gt;1,"同校全局题目ID重复",IF(COUNTIFS($E$4:$E$503,E225,$H$4:$H$503,H225)&gt;1,"同校本地PID重复",IF(OR(COUNTIFS($A$4:$A$503,A225,$B$4:$B$503,"&lt;&gt;"&amp;B225)&gt;0,COUNTIFS($A$4:$A$503,A225,$C$4:$C$503,"&lt;&gt;"&amp;C225)&gt;0,COUNTIFS($A$4:$A$503,A225,$D$4:$D$503,"&lt;&gt;"&amp;D225)&gt;0,COUNTIFS($A$4:$A$503,A225,$I$4:$I$503,"&lt;&gt;"&amp;I225)&gt;0,COUNTIFS($A$4:$A$503,A225,$J$4:$J$503,"&lt;&gt;"&amp;J225)&gt;0,COUNTIFS($A$4:$A$503,A225,$K$4:$K$503,"&lt;&gt;"&amp;K225)&gt;0,COUNTIFS($A$4:$A$503,A225,$L$4:$L$503,"&lt;&gt;"&amp;L225)&gt;0),"跨校题目配置不一致","通过")))))))</x:f>
      </x:c>
    </x:row>
    <x:row r="226" ht="22" customHeight="1">
      <x:c r="A226" s="70"/>
      <x:c r="B226" s="70"/>
      <x:c r="C226" s="28"/>
      <x:c r="D226" s="28"/>
      <x:c r="E226" s="70"/>
      <x:c r="F226" s="71" t="str">
        <x:f>IFERROR(INDEX('学校信息'!$F$4:$F$53,MATCH(E226,'学校信息'!$A$4:$A$53,0)),"")</x:f>
      </x:c>
      <x:c r="G226" s="71" t="str">
        <x:f>IFERROR(INDEX('学校信息'!$G$4:$G$53,MATCH(E226,'学校信息'!$A$4:$A$53,0)),"")</x:f>
      </x:c>
      <x:c r="H226" s="70"/>
      <x:c r="I226" s="70"/>
      <x:c r="J226" s="70"/>
      <x:c r="K226" s="28"/>
      <x:c r="L226" s="28"/>
      <x:c r="M226" s="60" t="str">
        <x:f>IF(COUNTA(A226:E226)+COUNTA(H226:L226)=0,"",IF(OR(A226="",B226="",C226="",D226="",E226="",H226="",I226="",J226="",K226="",L226=""),"缺少必填项",IF(OR(LEN(I226)&lt;&gt;64,LEN(J226)&lt;&gt;64),"SHA478长度应为64",IF(COUNTIF('学校信息'!$A$4:$A$53,E226)=0,"学校ID不存在",IF(COUNTIFS($E$4:$E$503,E226,$A$4:$A$503,A226)&gt;1,"同校全局题目ID重复",IF(COUNTIFS($E$4:$E$503,E226,$H$4:$H$503,H226)&gt;1,"同校本地PID重复",IF(OR(COUNTIFS($A$4:$A$503,A226,$B$4:$B$503,"&lt;&gt;"&amp;B226)&gt;0,COUNTIFS($A$4:$A$503,A226,$C$4:$C$503,"&lt;&gt;"&amp;C226)&gt;0,COUNTIFS($A$4:$A$503,A226,$D$4:$D$503,"&lt;&gt;"&amp;D226)&gt;0,COUNTIFS($A$4:$A$503,A226,$I$4:$I$503,"&lt;&gt;"&amp;I226)&gt;0,COUNTIFS($A$4:$A$503,A226,$J$4:$J$503,"&lt;&gt;"&amp;J226)&gt;0,COUNTIFS($A$4:$A$503,A226,$K$4:$K$503,"&lt;&gt;"&amp;K226)&gt;0,COUNTIFS($A$4:$A$503,A226,$L$4:$L$503,"&lt;&gt;"&amp;L226)&gt;0),"跨校题目配置不一致","通过")))))))</x:f>
      </x:c>
    </x:row>
    <x:row r="227" ht="22" customHeight="1">
      <x:c r="A227" s="70"/>
      <x:c r="B227" s="70"/>
      <x:c r="C227" s="28"/>
      <x:c r="D227" s="28"/>
      <x:c r="E227" s="70"/>
      <x:c r="F227" s="71" t="str">
        <x:f>IFERROR(INDEX('学校信息'!$F$4:$F$53,MATCH(E227,'学校信息'!$A$4:$A$53,0)),"")</x:f>
      </x:c>
      <x:c r="G227" s="71" t="str">
        <x:f>IFERROR(INDEX('学校信息'!$G$4:$G$53,MATCH(E227,'学校信息'!$A$4:$A$53,0)),"")</x:f>
      </x:c>
      <x:c r="H227" s="70"/>
      <x:c r="I227" s="70"/>
      <x:c r="J227" s="70"/>
      <x:c r="K227" s="28"/>
      <x:c r="L227" s="28"/>
      <x:c r="M227" s="60" t="str">
        <x:f>IF(COUNTA(A227:E227)+COUNTA(H227:L227)=0,"",IF(OR(A227="",B227="",C227="",D227="",E227="",H227="",I227="",J227="",K227="",L227=""),"缺少必填项",IF(OR(LEN(I227)&lt;&gt;64,LEN(J227)&lt;&gt;64),"SHA479长度应为64",IF(COUNTIF('学校信息'!$A$4:$A$53,E227)=0,"学校ID不存在",IF(COUNTIFS($E$4:$E$503,E227,$A$4:$A$503,A227)&gt;1,"同校全局题目ID重复",IF(COUNTIFS($E$4:$E$503,E227,$H$4:$H$503,H227)&gt;1,"同校本地PID重复",IF(OR(COUNTIFS($A$4:$A$503,A227,$B$4:$B$503,"&lt;&gt;"&amp;B227)&gt;0,COUNTIFS($A$4:$A$503,A227,$C$4:$C$503,"&lt;&gt;"&amp;C227)&gt;0,COUNTIFS($A$4:$A$503,A227,$D$4:$D$503,"&lt;&gt;"&amp;D227)&gt;0,COUNTIFS($A$4:$A$503,A227,$I$4:$I$503,"&lt;&gt;"&amp;I227)&gt;0,COUNTIFS($A$4:$A$503,A227,$J$4:$J$503,"&lt;&gt;"&amp;J227)&gt;0,COUNTIFS($A$4:$A$503,A227,$K$4:$K$503,"&lt;&gt;"&amp;K227)&gt;0,COUNTIFS($A$4:$A$503,A227,$L$4:$L$503,"&lt;&gt;"&amp;L227)&gt;0),"跨校题目配置不一致","通过")))))))</x:f>
      </x:c>
    </x:row>
    <x:row r="228" ht="22" customHeight="1">
      <x:c r="A228" s="70"/>
      <x:c r="B228" s="70"/>
      <x:c r="C228" s="28"/>
      <x:c r="D228" s="28"/>
      <x:c r="E228" s="70"/>
      <x:c r="F228" s="71" t="str">
        <x:f>IFERROR(INDEX('学校信息'!$F$4:$F$53,MATCH(E228,'学校信息'!$A$4:$A$53,0)),"")</x:f>
      </x:c>
      <x:c r="G228" s="71" t="str">
        <x:f>IFERROR(INDEX('学校信息'!$G$4:$G$53,MATCH(E228,'学校信息'!$A$4:$A$53,0)),"")</x:f>
      </x:c>
      <x:c r="H228" s="70"/>
      <x:c r="I228" s="70"/>
      <x:c r="J228" s="70"/>
      <x:c r="K228" s="28"/>
      <x:c r="L228" s="28"/>
      <x:c r="M228" s="60" t="str">
        <x:f>IF(COUNTA(A228:E228)+COUNTA(H228:L228)=0,"",IF(OR(A228="",B228="",C228="",D228="",E228="",H228="",I228="",J228="",K228="",L228=""),"缺少必填项",IF(OR(LEN(I228)&lt;&gt;64,LEN(J228)&lt;&gt;64),"SHA480长度应为64",IF(COUNTIF('学校信息'!$A$4:$A$53,E228)=0,"学校ID不存在",IF(COUNTIFS($E$4:$E$503,E228,$A$4:$A$503,A228)&gt;1,"同校全局题目ID重复",IF(COUNTIFS($E$4:$E$503,E228,$H$4:$H$503,H228)&gt;1,"同校本地PID重复",IF(OR(COUNTIFS($A$4:$A$503,A228,$B$4:$B$503,"&lt;&gt;"&amp;B228)&gt;0,COUNTIFS($A$4:$A$503,A228,$C$4:$C$503,"&lt;&gt;"&amp;C228)&gt;0,COUNTIFS($A$4:$A$503,A228,$D$4:$D$503,"&lt;&gt;"&amp;D228)&gt;0,COUNTIFS($A$4:$A$503,A228,$I$4:$I$503,"&lt;&gt;"&amp;I228)&gt;0,COUNTIFS($A$4:$A$503,A228,$J$4:$J$503,"&lt;&gt;"&amp;J228)&gt;0,COUNTIFS($A$4:$A$503,A228,$K$4:$K$503,"&lt;&gt;"&amp;K228)&gt;0,COUNTIFS($A$4:$A$503,A228,$L$4:$L$503,"&lt;&gt;"&amp;L228)&gt;0),"跨校题目配置不一致","通过")))))))</x:f>
      </x:c>
    </x:row>
    <x:row r="229" ht="22" customHeight="1">
      <x:c r="A229" s="70"/>
      <x:c r="B229" s="70"/>
      <x:c r="C229" s="28"/>
      <x:c r="D229" s="28"/>
      <x:c r="E229" s="70"/>
      <x:c r="F229" s="71" t="str">
        <x:f>IFERROR(INDEX('学校信息'!$F$4:$F$53,MATCH(E229,'学校信息'!$A$4:$A$53,0)),"")</x:f>
      </x:c>
      <x:c r="G229" s="71" t="str">
        <x:f>IFERROR(INDEX('学校信息'!$G$4:$G$53,MATCH(E229,'学校信息'!$A$4:$A$53,0)),"")</x:f>
      </x:c>
      <x:c r="H229" s="70"/>
      <x:c r="I229" s="70"/>
      <x:c r="J229" s="70"/>
      <x:c r="K229" s="28"/>
      <x:c r="L229" s="28"/>
      <x:c r="M229" s="60" t="str">
        <x:f>IF(COUNTA(A229:E229)+COUNTA(H229:L229)=0,"",IF(OR(A229="",B229="",C229="",D229="",E229="",H229="",I229="",J229="",K229="",L229=""),"缺少必填项",IF(OR(LEN(I229)&lt;&gt;64,LEN(J229)&lt;&gt;64),"SHA481长度应为64",IF(COUNTIF('学校信息'!$A$4:$A$53,E229)=0,"学校ID不存在",IF(COUNTIFS($E$4:$E$503,E229,$A$4:$A$503,A229)&gt;1,"同校全局题目ID重复",IF(COUNTIFS($E$4:$E$503,E229,$H$4:$H$503,H229)&gt;1,"同校本地PID重复",IF(OR(COUNTIFS($A$4:$A$503,A229,$B$4:$B$503,"&lt;&gt;"&amp;B229)&gt;0,COUNTIFS($A$4:$A$503,A229,$C$4:$C$503,"&lt;&gt;"&amp;C229)&gt;0,COUNTIFS($A$4:$A$503,A229,$D$4:$D$503,"&lt;&gt;"&amp;D229)&gt;0,COUNTIFS($A$4:$A$503,A229,$I$4:$I$503,"&lt;&gt;"&amp;I229)&gt;0,COUNTIFS($A$4:$A$503,A229,$J$4:$J$503,"&lt;&gt;"&amp;J229)&gt;0,COUNTIFS($A$4:$A$503,A229,$K$4:$K$503,"&lt;&gt;"&amp;K229)&gt;0,COUNTIFS($A$4:$A$503,A229,$L$4:$L$503,"&lt;&gt;"&amp;L229)&gt;0),"跨校题目配置不一致","通过")))))))</x:f>
      </x:c>
    </x:row>
    <x:row r="230" ht="22" customHeight="1">
      <x:c r="A230" s="70"/>
      <x:c r="B230" s="70"/>
      <x:c r="C230" s="28"/>
      <x:c r="D230" s="28"/>
      <x:c r="E230" s="70"/>
      <x:c r="F230" s="71" t="str">
        <x:f>IFERROR(INDEX('学校信息'!$F$4:$F$53,MATCH(E230,'学校信息'!$A$4:$A$53,0)),"")</x:f>
      </x:c>
      <x:c r="G230" s="71" t="str">
        <x:f>IFERROR(INDEX('学校信息'!$G$4:$G$53,MATCH(E230,'学校信息'!$A$4:$A$53,0)),"")</x:f>
      </x:c>
      <x:c r="H230" s="70"/>
      <x:c r="I230" s="70"/>
      <x:c r="J230" s="70"/>
      <x:c r="K230" s="28"/>
      <x:c r="L230" s="28"/>
      <x:c r="M230" s="60" t="str">
        <x:f>IF(COUNTA(A230:E230)+COUNTA(H230:L230)=0,"",IF(OR(A230="",B230="",C230="",D230="",E230="",H230="",I230="",J230="",K230="",L230=""),"缺少必填项",IF(OR(LEN(I230)&lt;&gt;64,LEN(J230)&lt;&gt;64),"SHA482长度应为64",IF(COUNTIF('学校信息'!$A$4:$A$53,E230)=0,"学校ID不存在",IF(COUNTIFS($E$4:$E$503,E230,$A$4:$A$503,A230)&gt;1,"同校全局题目ID重复",IF(COUNTIFS($E$4:$E$503,E230,$H$4:$H$503,H230)&gt;1,"同校本地PID重复",IF(OR(COUNTIFS($A$4:$A$503,A230,$B$4:$B$503,"&lt;&gt;"&amp;B230)&gt;0,COUNTIFS($A$4:$A$503,A230,$C$4:$C$503,"&lt;&gt;"&amp;C230)&gt;0,COUNTIFS($A$4:$A$503,A230,$D$4:$D$503,"&lt;&gt;"&amp;D230)&gt;0,COUNTIFS($A$4:$A$503,A230,$I$4:$I$503,"&lt;&gt;"&amp;I230)&gt;0,COUNTIFS($A$4:$A$503,A230,$J$4:$J$503,"&lt;&gt;"&amp;J230)&gt;0,COUNTIFS($A$4:$A$503,A230,$K$4:$K$503,"&lt;&gt;"&amp;K230)&gt;0,COUNTIFS($A$4:$A$503,A230,$L$4:$L$503,"&lt;&gt;"&amp;L230)&gt;0),"跨校题目配置不一致","通过")))))))</x:f>
      </x:c>
    </x:row>
    <x:row r="231" ht="22" customHeight="1">
      <x:c r="A231" s="70"/>
      <x:c r="B231" s="70"/>
      <x:c r="C231" s="28"/>
      <x:c r="D231" s="28"/>
      <x:c r="E231" s="70"/>
      <x:c r="F231" s="71" t="str">
        <x:f>IFERROR(INDEX('学校信息'!$F$4:$F$53,MATCH(E231,'学校信息'!$A$4:$A$53,0)),"")</x:f>
      </x:c>
      <x:c r="G231" s="71" t="str">
        <x:f>IFERROR(INDEX('学校信息'!$G$4:$G$53,MATCH(E231,'学校信息'!$A$4:$A$53,0)),"")</x:f>
      </x:c>
      <x:c r="H231" s="70"/>
      <x:c r="I231" s="70"/>
      <x:c r="J231" s="70"/>
      <x:c r="K231" s="28"/>
      <x:c r="L231" s="28"/>
      <x:c r="M231" s="60" t="str">
        <x:f>IF(COUNTA(A231:E231)+COUNTA(H231:L231)=0,"",IF(OR(A231="",B231="",C231="",D231="",E231="",H231="",I231="",J231="",K231="",L231=""),"缺少必填项",IF(OR(LEN(I231)&lt;&gt;64,LEN(J231)&lt;&gt;64),"SHA483长度应为64",IF(COUNTIF('学校信息'!$A$4:$A$53,E231)=0,"学校ID不存在",IF(COUNTIFS($E$4:$E$503,E231,$A$4:$A$503,A231)&gt;1,"同校全局题目ID重复",IF(COUNTIFS($E$4:$E$503,E231,$H$4:$H$503,H231)&gt;1,"同校本地PID重复",IF(OR(COUNTIFS($A$4:$A$503,A231,$B$4:$B$503,"&lt;&gt;"&amp;B231)&gt;0,COUNTIFS($A$4:$A$503,A231,$C$4:$C$503,"&lt;&gt;"&amp;C231)&gt;0,COUNTIFS($A$4:$A$503,A231,$D$4:$D$503,"&lt;&gt;"&amp;D231)&gt;0,COUNTIFS($A$4:$A$503,A231,$I$4:$I$503,"&lt;&gt;"&amp;I231)&gt;0,COUNTIFS($A$4:$A$503,A231,$J$4:$J$503,"&lt;&gt;"&amp;J231)&gt;0,COUNTIFS($A$4:$A$503,A231,$K$4:$K$503,"&lt;&gt;"&amp;K231)&gt;0,COUNTIFS($A$4:$A$503,A231,$L$4:$L$503,"&lt;&gt;"&amp;L231)&gt;0),"跨校题目配置不一致","通过")))))))</x:f>
      </x:c>
    </x:row>
    <x:row r="232" ht="22" customHeight="1">
      <x:c r="A232" s="70"/>
      <x:c r="B232" s="70"/>
      <x:c r="C232" s="28"/>
      <x:c r="D232" s="28"/>
      <x:c r="E232" s="70"/>
      <x:c r="F232" s="71" t="str">
        <x:f>IFERROR(INDEX('学校信息'!$F$4:$F$53,MATCH(E232,'学校信息'!$A$4:$A$53,0)),"")</x:f>
      </x:c>
      <x:c r="G232" s="71" t="str">
        <x:f>IFERROR(INDEX('学校信息'!$G$4:$G$53,MATCH(E232,'学校信息'!$A$4:$A$53,0)),"")</x:f>
      </x:c>
      <x:c r="H232" s="70"/>
      <x:c r="I232" s="70"/>
      <x:c r="J232" s="70"/>
      <x:c r="K232" s="28"/>
      <x:c r="L232" s="28"/>
      <x:c r="M232" s="60" t="str">
        <x:f>IF(COUNTA(A232:E232)+COUNTA(H232:L232)=0,"",IF(OR(A232="",B232="",C232="",D232="",E232="",H232="",I232="",J232="",K232="",L232=""),"缺少必填项",IF(OR(LEN(I232)&lt;&gt;64,LEN(J232)&lt;&gt;64),"SHA484长度应为64",IF(COUNTIF('学校信息'!$A$4:$A$53,E232)=0,"学校ID不存在",IF(COUNTIFS($E$4:$E$503,E232,$A$4:$A$503,A232)&gt;1,"同校全局题目ID重复",IF(COUNTIFS($E$4:$E$503,E232,$H$4:$H$503,H232)&gt;1,"同校本地PID重复",IF(OR(COUNTIFS($A$4:$A$503,A232,$B$4:$B$503,"&lt;&gt;"&amp;B232)&gt;0,COUNTIFS($A$4:$A$503,A232,$C$4:$C$503,"&lt;&gt;"&amp;C232)&gt;0,COUNTIFS($A$4:$A$503,A232,$D$4:$D$503,"&lt;&gt;"&amp;D232)&gt;0,COUNTIFS($A$4:$A$503,A232,$I$4:$I$503,"&lt;&gt;"&amp;I232)&gt;0,COUNTIFS($A$4:$A$503,A232,$J$4:$J$503,"&lt;&gt;"&amp;J232)&gt;0,COUNTIFS($A$4:$A$503,A232,$K$4:$K$503,"&lt;&gt;"&amp;K232)&gt;0,COUNTIFS($A$4:$A$503,A232,$L$4:$L$503,"&lt;&gt;"&amp;L232)&gt;0),"跨校题目配置不一致","通过")))))))</x:f>
      </x:c>
    </x:row>
    <x:row r="233" ht="22" customHeight="1">
      <x:c r="A233" s="70"/>
      <x:c r="B233" s="70"/>
      <x:c r="C233" s="28"/>
      <x:c r="D233" s="28"/>
      <x:c r="E233" s="70"/>
      <x:c r="F233" s="71" t="str">
        <x:f>IFERROR(INDEX('学校信息'!$F$4:$F$53,MATCH(E233,'学校信息'!$A$4:$A$53,0)),"")</x:f>
      </x:c>
      <x:c r="G233" s="71" t="str">
        <x:f>IFERROR(INDEX('学校信息'!$G$4:$G$53,MATCH(E233,'学校信息'!$A$4:$A$53,0)),"")</x:f>
      </x:c>
      <x:c r="H233" s="70"/>
      <x:c r="I233" s="70"/>
      <x:c r="J233" s="70"/>
      <x:c r="K233" s="28"/>
      <x:c r="L233" s="28"/>
      <x:c r="M233" s="60" t="str">
        <x:f>IF(COUNTA(A233:E233)+COUNTA(H233:L233)=0,"",IF(OR(A233="",B233="",C233="",D233="",E233="",H233="",I233="",J233="",K233="",L233=""),"缺少必填项",IF(OR(LEN(I233)&lt;&gt;64,LEN(J233)&lt;&gt;64),"SHA485长度应为64",IF(COUNTIF('学校信息'!$A$4:$A$53,E233)=0,"学校ID不存在",IF(COUNTIFS($E$4:$E$503,E233,$A$4:$A$503,A233)&gt;1,"同校全局题目ID重复",IF(COUNTIFS($E$4:$E$503,E233,$H$4:$H$503,H233)&gt;1,"同校本地PID重复",IF(OR(COUNTIFS($A$4:$A$503,A233,$B$4:$B$503,"&lt;&gt;"&amp;B233)&gt;0,COUNTIFS($A$4:$A$503,A233,$C$4:$C$503,"&lt;&gt;"&amp;C233)&gt;0,COUNTIFS($A$4:$A$503,A233,$D$4:$D$503,"&lt;&gt;"&amp;D233)&gt;0,COUNTIFS($A$4:$A$503,A233,$I$4:$I$503,"&lt;&gt;"&amp;I233)&gt;0,COUNTIFS($A$4:$A$503,A233,$J$4:$J$503,"&lt;&gt;"&amp;J233)&gt;0,COUNTIFS($A$4:$A$503,A233,$K$4:$K$503,"&lt;&gt;"&amp;K233)&gt;0,COUNTIFS($A$4:$A$503,A233,$L$4:$L$503,"&lt;&gt;"&amp;L233)&gt;0),"跨校题目配置不一致","通过")))))))</x:f>
      </x:c>
    </x:row>
    <x:row r="234" ht="22" customHeight="1">
      <x:c r="A234" s="70"/>
      <x:c r="B234" s="70"/>
      <x:c r="C234" s="28"/>
      <x:c r="D234" s="28"/>
      <x:c r="E234" s="70"/>
      <x:c r="F234" s="71" t="str">
        <x:f>IFERROR(INDEX('学校信息'!$F$4:$F$53,MATCH(E234,'学校信息'!$A$4:$A$53,0)),"")</x:f>
      </x:c>
      <x:c r="G234" s="71" t="str">
        <x:f>IFERROR(INDEX('学校信息'!$G$4:$G$53,MATCH(E234,'学校信息'!$A$4:$A$53,0)),"")</x:f>
      </x:c>
      <x:c r="H234" s="70"/>
      <x:c r="I234" s="70"/>
      <x:c r="J234" s="70"/>
      <x:c r="K234" s="28"/>
      <x:c r="L234" s="28"/>
      <x:c r="M234" s="60" t="str">
        <x:f>IF(COUNTA(A234:E234)+COUNTA(H234:L234)=0,"",IF(OR(A234="",B234="",C234="",D234="",E234="",H234="",I234="",J234="",K234="",L234=""),"缺少必填项",IF(OR(LEN(I234)&lt;&gt;64,LEN(J234)&lt;&gt;64),"SHA486长度应为64",IF(COUNTIF('学校信息'!$A$4:$A$53,E234)=0,"学校ID不存在",IF(COUNTIFS($E$4:$E$503,E234,$A$4:$A$503,A234)&gt;1,"同校全局题目ID重复",IF(COUNTIFS($E$4:$E$503,E234,$H$4:$H$503,H234)&gt;1,"同校本地PID重复",IF(OR(COUNTIFS($A$4:$A$503,A234,$B$4:$B$503,"&lt;&gt;"&amp;B234)&gt;0,COUNTIFS($A$4:$A$503,A234,$C$4:$C$503,"&lt;&gt;"&amp;C234)&gt;0,COUNTIFS($A$4:$A$503,A234,$D$4:$D$503,"&lt;&gt;"&amp;D234)&gt;0,COUNTIFS($A$4:$A$503,A234,$I$4:$I$503,"&lt;&gt;"&amp;I234)&gt;0,COUNTIFS($A$4:$A$503,A234,$J$4:$J$503,"&lt;&gt;"&amp;J234)&gt;0,COUNTIFS($A$4:$A$503,A234,$K$4:$K$503,"&lt;&gt;"&amp;K234)&gt;0,COUNTIFS($A$4:$A$503,A234,$L$4:$L$503,"&lt;&gt;"&amp;L234)&gt;0),"跨校题目配置不一致","通过")))))))</x:f>
      </x:c>
    </x:row>
    <x:row r="235" ht="22" customHeight="1">
      <x:c r="A235" s="70"/>
      <x:c r="B235" s="70"/>
      <x:c r="C235" s="28"/>
      <x:c r="D235" s="28"/>
      <x:c r="E235" s="70"/>
      <x:c r="F235" s="71" t="str">
        <x:f>IFERROR(INDEX('学校信息'!$F$4:$F$53,MATCH(E235,'学校信息'!$A$4:$A$53,0)),"")</x:f>
      </x:c>
      <x:c r="G235" s="71" t="str">
        <x:f>IFERROR(INDEX('学校信息'!$G$4:$G$53,MATCH(E235,'学校信息'!$A$4:$A$53,0)),"")</x:f>
      </x:c>
      <x:c r="H235" s="70"/>
      <x:c r="I235" s="70"/>
      <x:c r="J235" s="70"/>
      <x:c r="K235" s="28"/>
      <x:c r="L235" s="28"/>
      <x:c r="M235" s="60" t="str">
        <x:f>IF(COUNTA(A235:E235)+COUNTA(H235:L235)=0,"",IF(OR(A235="",B235="",C235="",D235="",E235="",H235="",I235="",J235="",K235="",L235=""),"缺少必填项",IF(OR(LEN(I235)&lt;&gt;64,LEN(J235)&lt;&gt;64),"SHA487长度应为64",IF(COUNTIF('学校信息'!$A$4:$A$53,E235)=0,"学校ID不存在",IF(COUNTIFS($E$4:$E$503,E235,$A$4:$A$503,A235)&gt;1,"同校全局题目ID重复",IF(COUNTIFS($E$4:$E$503,E235,$H$4:$H$503,H235)&gt;1,"同校本地PID重复",IF(OR(COUNTIFS($A$4:$A$503,A235,$B$4:$B$503,"&lt;&gt;"&amp;B235)&gt;0,COUNTIFS($A$4:$A$503,A235,$C$4:$C$503,"&lt;&gt;"&amp;C235)&gt;0,COUNTIFS($A$4:$A$503,A235,$D$4:$D$503,"&lt;&gt;"&amp;D235)&gt;0,COUNTIFS($A$4:$A$503,A235,$I$4:$I$503,"&lt;&gt;"&amp;I235)&gt;0,COUNTIFS($A$4:$A$503,A235,$J$4:$J$503,"&lt;&gt;"&amp;J235)&gt;0,COUNTIFS($A$4:$A$503,A235,$K$4:$K$503,"&lt;&gt;"&amp;K235)&gt;0,COUNTIFS($A$4:$A$503,A235,$L$4:$L$503,"&lt;&gt;"&amp;L235)&gt;0),"跨校题目配置不一致","通过")))))))</x:f>
      </x:c>
    </x:row>
    <x:row r="236" ht="22" customHeight="1">
      <x:c r="A236" s="70"/>
      <x:c r="B236" s="70"/>
      <x:c r="C236" s="28"/>
      <x:c r="D236" s="28"/>
      <x:c r="E236" s="70"/>
      <x:c r="F236" s="71" t="str">
        <x:f>IFERROR(INDEX('学校信息'!$F$4:$F$53,MATCH(E236,'学校信息'!$A$4:$A$53,0)),"")</x:f>
      </x:c>
      <x:c r="G236" s="71" t="str">
        <x:f>IFERROR(INDEX('学校信息'!$G$4:$G$53,MATCH(E236,'学校信息'!$A$4:$A$53,0)),"")</x:f>
      </x:c>
      <x:c r="H236" s="70"/>
      <x:c r="I236" s="70"/>
      <x:c r="J236" s="70"/>
      <x:c r="K236" s="28"/>
      <x:c r="L236" s="28"/>
      <x:c r="M236" s="60" t="str">
        <x:f>IF(COUNTA(A236:E236)+COUNTA(H236:L236)=0,"",IF(OR(A236="",B236="",C236="",D236="",E236="",H236="",I236="",J236="",K236="",L236=""),"缺少必填项",IF(OR(LEN(I236)&lt;&gt;64,LEN(J236)&lt;&gt;64),"SHA488长度应为64",IF(COUNTIF('学校信息'!$A$4:$A$53,E236)=0,"学校ID不存在",IF(COUNTIFS($E$4:$E$503,E236,$A$4:$A$503,A236)&gt;1,"同校全局题目ID重复",IF(COUNTIFS($E$4:$E$503,E236,$H$4:$H$503,H236)&gt;1,"同校本地PID重复",IF(OR(COUNTIFS($A$4:$A$503,A236,$B$4:$B$503,"&lt;&gt;"&amp;B236)&gt;0,COUNTIFS($A$4:$A$503,A236,$C$4:$C$503,"&lt;&gt;"&amp;C236)&gt;0,COUNTIFS($A$4:$A$503,A236,$D$4:$D$503,"&lt;&gt;"&amp;D236)&gt;0,COUNTIFS($A$4:$A$503,A236,$I$4:$I$503,"&lt;&gt;"&amp;I236)&gt;0,COUNTIFS($A$4:$A$503,A236,$J$4:$J$503,"&lt;&gt;"&amp;J236)&gt;0,COUNTIFS($A$4:$A$503,A236,$K$4:$K$503,"&lt;&gt;"&amp;K236)&gt;0,COUNTIFS($A$4:$A$503,A236,$L$4:$L$503,"&lt;&gt;"&amp;L236)&gt;0),"跨校题目配置不一致","通过")))))))</x:f>
      </x:c>
    </x:row>
    <x:row r="237" ht="22" customHeight="1">
      <x:c r="A237" s="70"/>
      <x:c r="B237" s="70"/>
      <x:c r="C237" s="28"/>
      <x:c r="D237" s="28"/>
      <x:c r="E237" s="70"/>
      <x:c r="F237" s="71" t="str">
        <x:f>IFERROR(INDEX('学校信息'!$F$4:$F$53,MATCH(E237,'学校信息'!$A$4:$A$53,0)),"")</x:f>
      </x:c>
      <x:c r="G237" s="71" t="str">
        <x:f>IFERROR(INDEX('学校信息'!$G$4:$G$53,MATCH(E237,'学校信息'!$A$4:$A$53,0)),"")</x:f>
      </x:c>
      <x:c r="H237" s="70"/>
      <x:c r="I237" s="70"/>
      <x:c r="J237" s="70"/>
      <x:c r="K237" s="28"/>
      <x:c r="L237" s="28"/>
      <x:c r="M237" s="60" t="str">
        <x:f>IF(COUNTA(A237:E237)+COUNTA(H237:L237)=0,"",IF(OR(A237="",B237="",C237="",D237="",E237="",H237="",I237="",J237="",K237="",L237=""),"缺少必填项",IF(OR(LEN(I237)&lt;&gt;64,LEN(J237)&lt;&gt;64),"SHA489长度应为64",IF(COUNTIF('学校信息'!$A$4:$A$53,E237)=0,"学校ID不存在",IF(COUNTIFS($E$4:$E$503,E237,$A$4:$A$503,A237)&gt;1,"同校全局题目ID重复",IF(COUNTIFS($E$4:$E$503,E237,$H$4:$H$503,H237)&gt;1,"同校本地PID重复",IF(OR(COUNTIFS($A$4:$A$503,A237,$B$4:$B$503,"&lt;&gt;"&amp;B237)&gt;0,COUNTIFS($A$4:$A$503,A237,$C$4:$C$503,"&lt;&gt;"&amp;C237)&gt;0,COUNTIFS($A$4:$A$503,A237,$D$4:$D$503,"&lt;&gt;"&amp;D237)&gt;0,COUNTIFS($A$4:$A$503,A237,$I$4:$I$503,"&lt;&gt;"&amp;I237)&gt;0,COUNTIFS($A$4:$A$503,A237,$J$4:$J$503,"&lt;&gt;"&amp;J237)&gt;0,COUNTIFS($A$4:$A$503,A237,$K$4:$K$503,"&lt;&gt;"&amp;K237)&gt;0,COUNTIFS($A$4:$A$503,A237,$L$4:$L$503,"&lt;&gt;"&amp;L237)&gt;0),"跨校题目配置不一致","通过")))))))</x:f>
      </x:c>
    </x:row>
    <x:row r="238" ht="22" customHeight="1">
      <x:c r="A238" s="70"/>
      <x:c r="B238" s="70"/>
      <x:c r="C238" s="28"/>
      <x:c r="D238" s="28"/>
      <x:c r="E238" s="70"/>
      <x:c r="F238" s="71" t="str">
        <x:f>IFERROR(INDEX('学校信息'!$F$4:$F$53,MATCH(E238,'学校信息'!$A$4:$A$53,0)),"")</x:f>
      </x:c>
      <x:c r="G238" s="71" t="str">
        <x:f>IFERROR(INDEX('学校信息'!$G$4:$G$53,MATCH(E238,'学校信息'!$A$4:$A$53,0)),"")</x:f>
      </x:c>
      <x:c r="H238" s="70"/>
      <x:c r="I238" s="70"/>
      <x:c r="J238" s="70"/>
      <x:c r="K238" s="28"/>
      <x:c r="L238" s="28"/>
      <x:c r="M238" s="60" t="str">
        <x:f>IF(COUNTA(A238:E238)+COUNTA(H238:L238)=0,"",IF(OR(A238="",B238="",C238="",D238="",E238="",H238="",I238="",J238="",K238="",L238=""),"缺少必填项",IF(OR(LEN(I238)&lt;&gt;64,LEN(J238)&lt;&gt;64),"SHA490长度应为64",IF(COUNTIF('学校信息'!$A$4:$A$53,E238)=0,"学校ID不存在",IF(COUNTIFS($E$4:$E$503,E238,$A$4:$A$503,A238)&gt;1,"同校全局题目ID重复",IF(COUNTIFS($E$4:$E$503,E238,$H$4:$H$503,H238)&gt;1,"同校本地PID重复",IF(OR(COUNTIFS($A$4:$A$503,A238,$B$4:$B$503,"&lt;&gt;"&amp;B238)&gt;0,COUNTIFS($A$4:$A$503,A238,$C$4:$C$503,"&lt;&gt;"&amp;C238)&gt;0,COUNTIFS($A$4:$A$503,A238,$D$4:$D$503,"&lt;&gt;"&amp;D238)&gt;0,COUNTIFS($A$4:$A$503,A238,$I$4:$I$503,"&lt;&gt;"&amp;I238)&gt;0,COUNTIFS($A$4:$A$503,A238,$J$4:$J$503,"&lt;&gt;"&amp;J238)&gt;0,COUNTIFS($A$4:$A$503,A238,$K$4:$K$503,"&lt;&gt;"&amp;K238)&gt;0,COUNTIFS($A$4:$A$503,A238,$L$4:$L$503,"&lt;&gt;"&amp;L238)&gt;0),"跨校题目配置不一致","通过")))))))</x:f>
      </x:c>
    </x:row>
    <x:row r="239" ht="22" customHeight="1">
      <x:c r="A239" s="70"/>
      <x:c r="B239" s="70"/>
      <x:c r="C239" s="28"/>
      <x:c r="D239" s="28"/>
      <x:c r="E239" s="70"/>
      <x:c r="F239" s="71" t="str">
        <x:f>IFERROR(INDEX('学校信息'!$F$4:$F$53,MATCH(E239,'学校信息'!$A$4:$A$53,0)),"")</x:f>
      </x:c>
      <x:c r="G239" s="71" t="str">
        <x:f>IFERROR(INDEX('学校信息'!$G$4:$G$53,MATCH(E239,'学校信息'!$A$4:$A$53,0)),"")</x:f>
      </x:c>
      <x:c r="H239" s="70"/>
      <x:c r="I239" s="70"/>
      <x:c r="J239" s="70"/>
      <x:c r="K239" s="28"/>
      <x:c r="L239" s="28"/>
      <x:c r="M239" s="60" t="str">
        <x:f>IF(COUNTA(A239:E239)+COUNTA(H239:L239)=0,"",IF(OR(A239="",B239="",C239="",D239="",E239="",H239="",I239="",J239="",K239="",L239=""),"缺少必填项",IF(OR(LEN(I239)&lt;&gt;64,LEN(J239)&lt;&gt;64),"SHA491长度应为64",IF(COUNTIF('学校信息'!$A$4:$A$53,E239)=0,"学校ID不存在",IF(COUNTIFS($E$4:$E$503,E239,$A$4:$A$503,A239)&gt;1,"同校全局题目ID重复",IF(COUNTIFS($E$4:$E$503,E239,$H$4:$H$503,H239)&gt;1,"同校本地PID重复",IF(OR(COUNTIFS($A$4:$A$503,A239,$B$4:$B$503,"&lt;&gt;"&amp;B239)&gt;0,COUNTIFS($A$4:$A$503,A239,$C$4:$C$503,"&lt;&gt;"&amp;C239)&gt;0,COUNTIFS($A$4:$A$503,A239,$D$4:$D$503,"&lt;&gt;"&amp;D239)&gt;0,COUNTIFS($A$4:$A$503,A239,$I$4:$I$503,"&lt;&gt;"&amp;I239)&gt;0,COUNTIFS($A$4:$A$503,A239,$J$4:$J$503,"&lt;&gt;"&amp;J239)&gt;0,COUNTIFS($A$4:$A$503,A239,$K$4:$K$503,"&lt;&gt;"&amp;K239)&gt;0,COUNTIFS($A$4:$A$503,A239,$L$4:$L$503,"&lt;&gt;"&amp;L239)&gt;0),"跨校题目配置不一致","通过")))))))</x:f>
      </x:c>
    </x:row>
    <x:row r="240" ht="22" customHeight="1">
      <x:c r="A240" s="70"/>
      <x:c r="B240" s="70"/>
      <x:c r="C240" s="28"/>
      <x:c r="D240" s="28"/>
      <x:c r="E240" s="70"/>
      <x:c r="F240" s="71" t="str">
        <x:f>IFERROR(INDEX('学校信息'!$F$4:$F$53,MATCH(E240,'学校信息'!$A$4:$A$53,0)),"")</x:f>
      </x:c>
      <x:c r="G240" s="71" t="str">
        <x:f>IFERROR(INDEX('学校信息'!$G$4:$G$53,MATCH(E240,'学校信息'!$A$4:$A$53,0)),"")</x:f>
      </x:c>
      <x:c r="H240" s="70"/>
      <x:c r="I240" s="70"/>
      <x:c r="J240" s="70"/>
      <x:c r="K240" s="28"/>
      <x:c r="L240" s="28"/>
      <x:c r="M240" s="60" t="str">
        <x:f>IF(COUNTA(A240:E240)+COUNTA(H240:L240)=0,"",IF(OR(A240="",B240="",C240="",D240="",E240="",H240="",I240="",J240="",K240="",L240=""),"缺少必填项",IF(OR(LEN(I240)&lt;&gt;64,LEN(J240)&lt;&gt;64),"SHA492长度应为64",IF(COUNTIF('学校信息'!$A$4:$A$53,E240)=0,"学校ID不存在",IF(COUNTIFS($E$4:$E$503,E240,$A$4:$A$503,A240)&gt;1,"同校全局题目ID重复",IF(COUNTIFS($E$4:$E$503,E240,$H$4:$H$503,H240)&gt;1,"同校本地PID重复",IF(OR(COUNTIFS($A$4:$A$503,A240,$B$4:$B$503,"&lt;&gt;"&amp;B240)&gt;0,COUNTIFS($A$4:$A$503,A240,$C$4:$C$503,"&lt;&gt;"&amp;C240)&gt;0,COUNTIFS($A$4:$A$503,A240,$D$4:$D$503,"&lt;&gt;"&amp;D240)&gt;0,COUNTIFS($A$4:$A$503,A240,$I$4:$I$503,"&lt;&gt;"&amp;I240)&gt;0,COUNTIFS($A$4:$A$503,A240,$J$4:$J$503,"&lt;&gt;"&amp;J240)&gt;0,COUNTIFS($A$4:$A$503,A240,$K$4:$K$503,"&lt;&gt;"&amp;K240)&gt;0,COUNTIFS($A$4:$A$503,A240,$L$4:$L$503,"&lt;&gt;"&amp;L240)&gt;0),"跨校题目配置不一致","通过")))))))</x:f>
      </x:c>
    </x:row>
    <x:row r="241" ht="22" customHeight="1">
      <x:c r="A241" s="70"/>
      <x:c r="B241" s="70"/>
      <x:c r="C241" s="28"/>
      <x:c r="D241" s="28"/>
      <x:c r="E241" s="70"/>
      <x:c r="F241" s="71" t="str">
        <x:f>IFERROR(INDEX('学校信息'!$F$4:$F$53,MATCH(E241,'学校信息'!$A$4:$A$53,0)),"")</x:f>
      </x:c>
      <x:c r="G241" s="71" t="str">
        <x:f>IFERROR(INDEX('学校信息'!$G$4:$G$53,MATCH(E241,'学校信息'!$A$4:$A$53,0)),"")</x:f>
      </x:c>
      <x:c r="H241" s="70"/>
      <x:c r="I241" s="70"/>
      <x:c r="J241" s="70"/>
      <x:c r="K241" s="28"/>
      <x:c r="L241" s="28"/>
      <x:c r="M241" s="60" t="str">
        <x:f>IF(COUNTA(A241:E241)+COUNTA(H241:L241)=0,"",IF(OR(A241="",B241="",C241="",D241="",E241="",H241="",I241="",J241="",K241="",L241=""),"缺少必填项",IF(OR(LEN(I241)&lt;&gt;64,LEN(J241)&lt;&gt;64),"SHA493长度应为64",IF(COUNTIF('学校信息'!$A$4:$A$53,E241)=0,"学校ID不存在",IF(COUNTIFS($E$4:$E$503,E241,$A$4:$A$503,A241)&gt;1,"同校全局题目ID重复",IF(COUNTIFS($E$4:$E$503,E241,$H$4:$H$503,H241)&gt;1,"同校本地PID重复",IF(OR(COUNTIFS($A$4:$A$503,A241,$B$4:$B$503,"&lt;&gt;"&amp;B241)&gt;0,COUNTIFS($A$4:$A$503,A241,$C$4:$C$503,"&lt;&gt;"&amp;C241)&gt;0,COUNTIFS($A$4:$A$503,A241,$D$4:$D$503,"&lt;&gt;"&amp;D241)&gt;0,COUNTIFS($A$4:$A$503,A241,$I$4:$I$503,"&lt;&gt;"&amp;I241)&gt;0,COUNTIFS($A$4:$A$503,A241,$J$4:$J$503,"&lt;&gt;"&amp;J241)&gt;0,COUNTIFS($A$4:$A$503,A241,$K$4:$K$503,"&lt;&gt;"&amp;K241)&gt;0,COUNTIFS($A$4:$A$503,A241,$L$4:$L$503,"&lt;&gt;"&amp;L241)&gt;0),"跨校题目配置不一致","通过")))))))</x:f>
      </x:c>
    </x:row>
    <x:row r="242" ht="22" customHeight="1">
      <x:c r="A242" s="70"/>
      <x:c r="B242" s="70"/>
      <x:c r="C242" s="28"/>
      <x:c r="D242" s="28"/>
      <x:c r="E242" s="70"/>
      <x:c r="F242" s="71" t="str">
        <x:f>IFERROR(INDEX('学校信息'!$F$4:$F$53,MATCH(E242,'学校信息'!$A$4:$A$53,0)),"")</x:f>
      </x:c>
      <x:c r="G242" s="71" t="str">
        <x:f>IFERROR(INDEX('学校信息'!$G$4:$G$53,MATCH(E242,'学校信息'!$A$4:$A$53,0)),"")</x:f>
      </x:c>
      <x:c r="H242" s="70"/>
      <x:c r="I242" s="70"/>
      <x:c r="J242" s="70"/>
      <x:c r="K242" s="28"/>
      <x:c r="L242" s="28"/>
      <x:c r="M242" s="60" t="str">
        <x:f>IF(COUNTA(A242:E242)+COUNTA(H242:L242)=0,"",IF(OR(A242="",B242="",C242="",D242="",E242="",H242="",I242="",J242="",K242="",L242=""),"缺少必填项",IF(OR(LEN(I242)&lt;&gt;64,LEN(J242)&lt;&gt;64),"SHA494长度应为64",IF(COUNTIF('学校信息'!$A$4:$A$53,E242)=0,"学校ID不存在",IF(COUNTIFS($E$4:$E$503,E242,$A$4:$A$503,A242)&gt;1,"同校全局题目ID重复",IF(COUNTIFS($E$4:$E$503,E242,$H$4:$H$503,H242)&gt;1,"同校本地PID重复",IF(OR(COUNTIFS($A$4:$A$503,A242,$B$4:$B$503,"&lt;&gt;"&amp;B242)&gt;0,COUNTIFS($A$4:$A$503,A242,$C$4:$C$503,"&lt;&gt;"&amp;C242)&gt;0,COUNTIFS($A$4:$A$503,A242,$D$4:$D$503,"&lt;&gt;"&amp;D242)&gt;0,COUNTIFS($A$4:$A$503,A242,$I$4:$I$503,"&lt;&gt;"&amp;I242)&gt;0,COUNTIFS($A$4:$A$503,A242,$J$4:$J$503,"&lt;&gt;"&amp;J242)&gt;0,COUNTIFS($A$4:$A$503,A242,$K$4:$K$503,"&lt;&gt;"&amp;K242)&gt;0,COUNTIFS($A$4:$A$503,A242,$L$4:$L$503,"&lt;&gt;"&amp;L242)&gt;0),"跨校题目配置不一致","通过")))))))</x:f>
      </x:c>
    </x:row>
    <x:row r="243" ht="22" customHeight="1">
      <x:c r="A243" s="70"/>
      <x:c r="B243" s="70"/>
      <x:c r="C243" s="28"/>
      <x:c r="D243" s="28"/>
      <x:c r="E243" s="70"/>
      <x:c r="F243" s="71" t="str">
        <x:f>IFERROR(INDEX('学校信息'!$F$4:$F$53,MATCH(E243,'学校信息'!$A$4:$A$53,0)),"")</x:f>
      </x:c>
      <x:c r="G243" s="71" t="str">
        <x:f>IFERROR(INDEX('学校信息'!$G$4:$G$53,MATCH(E243,'学校信息'!$A$4:$A$53,0)),"")</x:f>
      </x:c>
      <x:c r="H243" s="70"/>
      <x:c r="I243" s="70"/>
      <x:c r="J243" s="70"/>
      <x:c r="K243" s="28"/>
      <x:c r="L243" s="28"/>
      <x:c r="M243" s="60" t="str">
        <x:f>IF(COUNTA(A243:E243)+COUNTA(H243:L243)=0,"",IF(OR(A243="",B243="",C243="",D243="",E243="",H243="",I243="",J243="",K243="",L243=""),"缺少必填项",IF(OR(LEN(I243)&lt;&gt;64,LEN(J243)&lt;&gt;64),"SHA495长度应为64",IF(COUNTIF('学校信息'!$A$4:$A$53,E243)=0,"学校ID不存在",IF(COUNTIFS($E$4:$E$503,E243,$A$4:$A$503,A243)&gt;1,"同校全局题目ID重复",IF(COUNTIFS($E$4:$E$503,E243,$H$4:$H$503,H243)&gt;1,"同校本地PID重复",IF(OR(COUNTIFS($A$4:$A$503,A243,$B$4:$B$503,"&lt;&gt;"&amp;B243)&gt;0,COUNTIFS($A$4:$A$503,A243,$C$4:$C$503,"&lt;&gt;"&amp;C243)&gt;0,COUNTIFS($A$4:$A$503,A243,$D$4:$D$503,"&lt;&gt;"&amp;D243)&gt;0,COUNTIFS($A$4:$A$503,A243,$I$4:$I$503,"&lt;&gt;"&amp;I243)&gt;0,COUNTIFS($A$4:$A$503,A243,$J$4:$J$503,"&lt;&gt;"&amp;J243)&gt;0,COUNTIFS($A$4:$A$503,A243,$K$4:$K$503,"&lt;&gt;"&amp;K243)&gt;0,COUNTIFS($A$4:$A$503,A243,$L$4:$L$503,"&lt;&gt;"&amp;L243)&gt;0),"跨校题目配置不一致","通过")))))))</x:f>
      </x:c>
    </x:row>
    <x:row r="244" ht="22" customHeight="1">
      <x:c r="A244" s="70"/>
      <x:c r="B244" s="70"/>
      <x:c r="C244" s="28"/>
      <x:c r="D244" s="28"/>
      <x:c r="E244" s="70"/>
      <x:c r="F244" s="71" t="str">
        <x:f>IFERROR(INDEX('学校信息'!$F$4:$F$53,MATCH(E244,'学校信息'!$A$4:$A$53,0)),"")</x:f>
      </x:c>
      <x:c r="G244" s="71" t="str">
        <x:f>IFERROR(INDEX('学校信息'!$G$4:$G$53,MATCH(E244,'学校信息'!$A$4:$A$53,0)),"")</x:f>
      </x:c>
      <x:c r="H244" s="70"/>
      <x:c r="I244" s="70"/>
      <x:c r="J244" s="70"/>
      <x:c r="K244" s="28"/>
      <x:c r="L244" s="28"/>
      <x:c r="M244" s="60" t="str">
        <x:f>IF(COUNTA(A244:E244)+COUNTA(H244:L244)=0,"",IF(OR(A244="",B244="",C244="",D244="",E244="",H244="",I244="",J244="",K244="",L244=""),"缺少必填项",IF(OR(LEN(I244)&lt;&gt;64,LEN(J244)&lt;&gt;64),"SHA496长度应为64",IF(COUNTIF('学校信息'!$A$4:$A$53,E244)=0,"学校ID不存在",IF(COUNTIFS($E$4:$E$503,E244,$A$4:$A$503,A244)&gt;1,"同校全局题目ID重复",IF(COUNTIFS($E$4:$E$503,E244,$H$4:$H$503,H244)&gt;1,"同校本地PID重复",IF(OR(COUNTIFS($A$4:$A$503,A244,$B$4:$B$503,"&lt;&gt;"&amp;B244)&gt;0,COUNTIFS($A$4:$A$503,A244,$C$4:$C$503,"&lt;&gt;"&amp;C244)&gt;0,COUNTIFS($A$4:$A$503,A244,$D$4:$D$503,"&lt;&gt;"&amp;D244)&gt;0,COUNTIFS($A$4:$A$503,A244,$I$4:$I$503,"&lt;&gt;"&amp;I244)&gt;0,COUNTIFS($A$4:$A$503,A244,$J$4:$J$503,"&lt;&gt;"&amp;J244)&gt;0,COUNTIFS($A$4:$A$503,A244,$K$4:$K$503,"&lt;&gt;"&amp;K244)&gt;0,COUNTIFS($A$4:$A$503,A244,$L$4:$L$503,"&lt;&gt;"&amp;L244)&gt;0),"跨校题目配置不一致","通过")))))))</x:f>
      </x:c>
    </x:row>
    <x:row r="245" ht="22" customHeight="1">
      <x:c r="A245" s="70"/>
      <x:c r="B245" s="70"/>
      <x:c r="C245" s="28"/>
      <x:c r="D245" s="28"/>
      <x:c r="E245" s="70"/>
      <x:c r="F245" s="71" t="str">
        <x:f>IFERROR(INDEX('学校信息'!$F$4:$F$53,MATCH(E245,'学校信息'!$A$4:$A$53,0)),"")</x:f>
      </x:c>
      <x:c r="G245" s="71" t="str">
        <x:f>IFERROR(INDEX('学校信息'!$G$4:$G$53,MATCH(E245,'学校信息'!$A$4:$A$53,0)),"")</x:f>
      </x:c>
      <x:c r="H245" s="70"/>
      <x:c r="I245" s="70"/>
      <x:c r="J245" s="70"/>
      <x:c r="K245" s="28"/>
      <x:c r="L245" s="28"/>
      <x:c r="M245" s="60" t="str">
        <x:f>IF(COUNTA(A245:E245)+COUNTA(H245:L245)=0,"",IF(OR(A245="",B245="",C245="",D245="",E245="",H245="",I245="",J245="",K245="",L245=""),"缺少必填项",IF(OR(LEN(I245)&lt;&gt;64,LEN(J245)&lt;&gt;64),"SHA497长度应为64",IF(COUNTIF('学校信息'!$A$4:$A$53,E245)=0,"学校ID不存在",IF(COUNTIFS($E$4:$E$503,E245,$A$4:$A$503,A245)&gt;1,"同校全局题目ID重复",IF(COUNTIFS($E$4:$E$503,E245,$H$4:$H$503,H245)&gt;1,"同校本地PID重复",IF(OR(COUNTIFS($A$4:$A$503,A245,$B$4:$B$503,"&lt;&gt;"&amp;B245)&gt;0,COUNTIFS($A$4:$A$503,A245,$C$4:$C$503,"&lt;&gt;"&amp;C245)&gt;0,COUNTIFS($A$4:$A$503,A245,$D$4:$D$503,"&lt;&gt;"&amp;D245)&gt;0,COUNTIFS($A$4:$A$503,A245,$I$4:$I$503,"&lt;&gt;"&amp;I245)&gt;0,COUNTIFS($A$4:$A$503,A245,$J$4:$J$503,"&lt;&gt;"&amp;J245)&gt;0,COUNTIFS($A$4:$A$503,A245,$K$4:$K$503,"&lt;&gt;"&amp;K245)&gt;0,COUNTIFS($A$4:$A$503,A245,$L$4:$L$503,"&lt;&gt;"&amp;L245)&gt;0),"跨校题目配置不一致","通过")))))))</x:f>
      </x:c>
    </x:row>
    <x:row r="246" ht="22" customHeight="1">
      <x:c r="A246" s="70"/>
      <x:c r="B246" s="70"/>
      <x:c r="C246" s="28"/>
      <x:c r="D246" s="28"/>
      <x:c r="E246" s="70"/>
      <x:c r="F246" s="71" t="str">
        <x:f>IFERROR(INDEX('学校信息'!$F$4:$F$53,MATCH(E246,'学校信息'!$A$4:$A$53,0)),"")</x:f>
      </x:c>
      <x:c r="G246" s="71" t="str">
        <x:f>IFERROR(INDEX('学校信息'!$G$4:$G$53,MATCH(E246,'学校信息'!$A$4:$A$53,0)),"")</x:f>
      </x:c>
      <x:c r="H246" s="70"/>
      <x:c r="I246" s="70"/>
      <x:c r="J246" s="70"/>
      <x:c r="K246" s="28"/>
      <x:c r="L246" s="28"/>
      <x:c r="M246" s="60" t="str">
        <x:f>IF(COUNTA(A246:E246)+COUNTA(H246:L246)=0,"",IF(OR(A246="",B246="",C246="",D246="",E246="",H246="",I246="",J246="",K246="",L246=""),"缺少必填项",IF(OR(LEN(I246)&lt;&gt;64,LEN(J246)&lt;&gt;64),"SHA498长度应为64",IF(COUNTIF('学校信息'!$A$4:$A$53,E246)=0,"学校ID不存在",IF(COUNTIFS($E$4:$E$503,E246,$A$4:$A$503,A246)&gt;1,"同校全局题目ID重复",IF(COUNTIFS($E$4:$E$503,E246,$H$4:$H$503,H246)&gt;1,"同校本地PID重复",IF(OR(COUNTIFS($A$4:$A$503,A246,$B$4:$B$503,"&lt;&gt;"&amp;B246)&gt;0,COUNTIFS($A$4:$A$503,A246,$C$4:$C$503,"&lt;&gt;"&amp;C246)&gt;0,COUNTIFS($A$4:$A$503,A246,$D$4:$D$503,"&lt;&gt;"&amp;D246)&gt;0,COUNTIFS($A$4:$A$503,A246,$I$4:$I$503,"&lt;&gt;"&amp;I246)&gt;0,COUNTIFS($A$4:$A$503,A246,$J$4:$J$503,"&lt;&gt;"&amp;J246)&gt;0,COUNTIFS($A$4:$A$503,A246,$K$4:$K$503,"&lt;&gt;"&amp;K246)&gt;0,COUNTIFS($A$4:$A$503,A246,$L$4:$L$503,"&lt;&gt;"&amp;L246)&gt;0),"跨校题目配置不一致","通过")))))))</x:f>
      </x:c>
    </x:row>
    <x:row r="247" ht="22" customHeight="1">
      <x:c r="A247" s="70"/>
      <x:c r="B247" s="70"/>
      <x:c r="C247" s="28"/>
      <x:c r="D247" s="28"/>
      <x:c r="E247" s="70"/>
      <x:c r="F247" s="71" t="str">
        <x:f>IFERROR(INDEX('学校信息'!$F$4:$F$53,MATCH(E247,'学校信息'!$A$4:$A$53,0)),"")</x:f>
      </x:c>
      <x:c r="G247" s="71" t="str">
        <x:f>IFERROR(INDEX('学校信息'!$G$4:$G$53,MATCH(E247,'学校信息'!$A$4:$A$53,0)),"")</x:f>
      </x:c>
      <x:c r="H247" s="70"/>
      <x:c r="I247" s="70"/>
      <x:c r="J247" s="70"/>
      <x:c r="K247" s="28"/>
      <x:c r="L247" s="28"/>
      <x:c r="M247" s="60" t="str">
        <x:f>IF(COUNTA(A247:E247)+COUNTA(H247:L247)=0,"",IF(OR(A247="",B247="",C247="",D247="",E247="",H247="",I247="",J247="",K247="",L247=""),"缺少必填项",IF(OR(LEN(I247)&lt;&gt;64,LEN(J247)&lt;&gt;64),"SHA499长度应为64",IF(COUNTIF('学校信息'!$A$4:$A$53,E247)=0,"学校ID不存在",IF(COUNTIFS($E$4:$E$503,E247,$A$4:$A$503,A247)&gt;1,"同校全局题目ID重复",IF(COUNTIFS($E$4:$E$503,E247,$H$4:$H$503,H247)&gt;1,"同校本地PID重复",IF(OR(COUNTIFS($A$4:$A$503,A247,$B$4:$B$503,"&lt;&gt;"&amp;B247)&gt;0,COUNTIFS($A$4:$A$503,A247,$C$4:$C$503,"&lt;&gt;"&amp;C247)&gt;0,COUNTIFS($A$4:$A$503,A247,$D$4:$D$503,"&lt;&gt;"&amp;D247)&gt;0,COUNTIFS($A$4:$A$503,A247,$I$4:$I$503,"&lt;&gt;"&amp;I247)&gt;0,COUNTIFS($A$4:$A$503,A247,$J$4:$J$503,"&lt;&gt;"&amp;J247)&gt;0,COUNTIFS($A$4:$A$503,A247,$K$4:$K$503,"&lt;&gt;"&amp;K247)&gt;0,COUNTIFS($A$4:$A$503,A247,$L$4:$L$503,"&lt;&gt;"&amp;L247)&gt;0),"跨校题目配置不一致","通过")))))))</x:f>
      </x:c>
    </x:row>
    <x:row r="248" ht="22" customHeight="1">
      <x:c r="A248" s="70"/>
      <x:c r="B248" s="70"/>
      <x:c r="C248" s="28"/>
      <x:c r="D248" s="28"/>
      <x:c r="E248" s="70"/>
      <x:c r="F248" s="71" t="str">
        <x:f>IFERROR(INDEX('学校信息'!$F$4:$F$53,MATCH(E248,'学校信息'!$A$4:$A$53,0)),"")</x:f>
      </x:c>
      <x:c r="G248" s="71" t="str">
        <x:f>IFERROR(INDEX('学校信息'!$G$4:$G$53,MATCH(E248,'学校信息'!$A$4:$A$53,0)),"")</x:f>
      </x:c>
      <x:c r="H248" s="70"/>
      <x:c r="I248" s="70"/>
      <x:c r="J248" s="70"/>
      <x:c r="K248" s="28"/>
      <x:c r="L248" s="28"/>
      <x:c r="M248" s="60" t="str">
        <x:f>IF(COUNTA(A248:E248)+COUNTA(H248:L248)=0,"",IF(OR(A248="",B248="",C248="",D248="",E248="",H248="",I248="",J248="",K248="",L248=""),"缺少必填项",IF(OR(LEN(I248)&lt;&gt;64,LEN(J248)&lt;&gt;64),"SHA500长度应为64",IF(COUNTIF('学校信息'!$A$4:$A$53,E248)=0,"学校ID不存在",IF(COUNTIFS($E$4:$E$503,E248,$A$4:$A$503,A248)&gt;1,"同校全局题目ID重复",IF(COUNTIFS($E$4:$E$503,E248,$H$4:$H$503,H248)&gt;1,"同校本地PID重复",IF(OR(COUNTIFS($A$4:$A$503,A248,$B$4:$B$503,"&lt;&gt;"&amp;B248)&gt;0,COUNTIFS($A$4:$A$503,A248,$C$4:$C$503,"&lt;&gt;"&amp;C248)&gt;0,COUNTIFS($A$4:$A$503,A248,$D$4:$D$503,"&lt;&gt;"&amp;D248)&gt;0,COUNTIFS($A$4:$A$503,A248,$I$4:$I$503,"&lt;&gt;"&amp;I248)&gt;0,COUNTIFS($A$4:$A$503,A248,$J$4:$J$503,"&lt;&gt;"&amp;J248)&gt;0,COUNTIFS($A$4:$A$503,A248,$K$4:$K$503,"&lt;&gt;"&amp;K248)&gt;0,COUNTIFS($A$4:$A$503,A248,$L$4:$L$503,"&lt;&gt;"&amp;L248)&gt;0),"跨校题目配置不一致","通过")))))))</x:f>
      </x:c>
    </x:row>
    <x:row r="249" ht="22" customHeight="1">
      <x:c r="A249" s="70"/>
      <x:c r="B249" s="70"/>
      <x:c r="C249" s="28"/>
      <x:c r="D249" s="28"/>
      <x:c r="E249" s="70"/>
      <x:c r="F249" s="71" t="str">
        <x:f>IFERROR(INDEX('学校信息'!$F$4:$F$53,MATCH(E249,'学校信息'!$A$4:$A$53,0)),"")</x:f>
      </x:c>
      <x:c r="G249" s="71" t="str">
        <x:f>IFERROR(INDEX('学校信息'!$G$4:$G$53,MATCH(E249,'学校信息'!$A$4:$A$53,0)),"")</x:f>
      </x:c>
      <x:c r="H249" s="70"/>
      <x:c r="I249" s="70"/>
      <x:c r="J249" s="70"/>
      <x:c r="K249" s="28"/>
      <x:c r="L249" s="28"/>
      <x:c r="M249" s="60" t="str">
        <x:f>IF(COUNTA(A249:E249)+COUNTA(H249:L249)=0,"",IF(OR(A249="",B249="",C249="",D249="",E249="",H249="",I249="",J249="",K249="",L249=""),"缺少必填项",IF(OR(LEN(I249)&lt;&gt;64,LEN(J249)&lt;&gt;64),"SHA501长度应为64",IF(COUNTIF('学校信息'!$A$4:$A$53,E249)=0,"学校ID不存在",IF(COUNTIFS($E$4:$E$503,E249,$A$4:$A$503,A249)&gt;1,"同校全局题目ID重复",IF(COUNTIFS($E$4:$E$503,E249,$H$4:$H$503,H249)&gt;1,"同校本地PID重复",IF(OR(COUNTIFS($A$4:$A$503,A249,$B$4:$B$503,"&lt;&gt;"&amp;B249)&gt;0,COUNTIFS($A$4:$A$503,A249,$C$4:$C$503,"&lt;&gt;"&amp;C249)&gt;0,COUNTIFS($A$4:$A$503,A249,$D$4:$D$503,"&lt;&gt;"&amp;D249)&gt;0,COUNTIFS($A$4:$A$503,A249,$I$4:$I$503,"&lt;&gt;"&amp;I249)&gt;0,COUNTIFS($A$4:$A$503,A249,$J$4:$J$503,"&lt;&gt;"&amp;J249)&gt;0,COUNTIFS($A$4:$A$503,A249,$K$4:$K$503,"&lt;&gt;"&amp;K249)&gt;0,COUNTIFS($A$4:$A$503,A249,$L$4:$L$503,"&lt;&gt;"&amp;L249)&gt;0),"跨校题目配置不一致","通过")))))))</x:f>
      </x:c>
    </x:row>
    <x:row r="250" ht="22" customHeight="1">
      <x:c r="A250" s="70"/>
      <x:c r="B250" s="70"/>
      <x:c r="C250" s="28"/>
      <x:c r="D250" s="28"/>
      <x:c r="E250" s="70"/>
      <x:c r="F250" s="71" t="str">
        <x:f>IFERROR(INDEX('学校信息'!$F$4:$F$53,MATCH(E250,'学校信息'!$A$4:$A$53,0)),"")</x:f>
      </x:c>
      <x:c r="G250" s="71" t="str">
        <x:f>IFERROR(INDEX('学校信息'!$G$4:$G$53,MATCH(E250,'学校信息'!$A$4:$A$53,0)),"")</x:f>
      </x:c>
      <x:c r="H250" s="70"/>
      <x:c r="I250" s="70"/>
      <x:c r="J250" s="70"/>
      <x:c r="K250" s="28"/>
      <x:c r="L250" s="28"/>
      <x:c r="M250" s="60" t="str">
        <x:f>IF(COUNTA(A250:E250)+COUNTA(H250:L250)=0,"",IF(OR(A250="",B250="",C250="",D250="",E250="",H250="",I250="",J250="",K250="",L250=""),"缺少必填项",IF(OR(LEN(I250)&lt;&gt;64,LEN(J250)&lt;&gt;64),"SHA502长度应为64",IF(COUNTIF('学校信息'!$A$4:$A$53,E250)=0,"学校ID不存在",IF(COUNTIFS($E$4:$E$503,E250,$A$4:$A$503,A250)&gt;1,"同校全局题目ID重复",IF(COUNTIFS($E$4:$E$503,E250,$H$4:$H$503,H250)&gt;1,"同校本地PID重复",IF(OR(COUNTIFS($A$4:$A$503,A250,$B$4:$B$503,"&lt;&gt;"&amp;B250)&gt;0,COUNTIFS($A$4:$A$503,A250,$C$4:$C$503,"&lt;&gt;"&amp;C250)&gt;0,COUNTIFS($A$4:$A$503,A250,$D$4:$D$503,"&lt;&gt;"&amp;D250)&gt;0,COUNTIFS($A$4:$A$503,A250,$I$4:$I$503,"&lt;&gt;"&amp;I250)&gt;0,COUNTIFS($A$4:$A$503,A250,$J$4:$J$503,"&lt;&gt;"&amp;J250)&gt;0,COUNTIFS($A$4:$A$503,A250,$K$4:$K$503,"&lt;&gt;"&amp;K250)&gt;0,COUNTIFS($A$4:$A$503,A250,$L$4:$L$503,"&lt;&gt;"&amp;L250)&gt;0),"跨校题目配置不一致","通过")))))))</x:f>
      </x:c>
    </x:row>
    <x:row r="251" ht="22" customHeight="1">
      <x:c r="A251" s="70"/>
      <x:c r="B251" s="70"/>
      <x:c r="C251" s="28"/>
      <x:c r="D251" s="28"/>
      <x:c r="E251" s="70"/>
      <x:c r="F251" s="71" t="str">
        <x:f>IFERROR(INDEX('学校信息'!$F$4:$F$53,MATCH(E251,'学校信息'!$A$4:$A$53,0)),"")</x:f>
      </x:c>
      <x:c r="G251" s="71" t="str">
        <x:f>IFERROR(INDEX('学校信息'!$G$4:$G$53,MATCH(E251,'学校信息'!$A$4:$A$53,0)),"")</x:f>
      </x:c>
      <x:c r="H251" s="70"/>
      <x:c r="I251" s="70"/>
      <x:c r="J251" s="70"/>
      <x:c r="K251" s="28"/>
      <x:c r="L251" s="28"/>
      <x:c r="M251" s="60" t="str">
        <x:f>IF(COUNTA(A251:E251)+COUNTA(H251:L251)=0,"",IF(OR(A251="",B251="",C251="",D251="",E251="",H251="",I251="",J251="",K251="",L251=""),"缺少必填项",IF(OR(LEN(I251)&lt;&gt;64,LEN(J251)&lt;&gt;64),"SHA503长度应为64",IF(COUNTIF('学校信息'!$A$4:$A$53,E251)=0,"学校ID不存在",IF(COUNTIFS($E$4:$E$503,E251,$A$4:$A$503,A251)&gt;1,"同校全局题目ID重复",IF(COUNTIFS($E$4:$E$503,E251,$H$4:$H$503,H251)&gt;1,"同校本地PID重复",IF(OR(COUNTIFS($A$4:$A$503,A251,$B$4:$B$503,"&lt;&gt;"&amp;B251)&gt;0,COUNTIFS($A$4:$A$503,A251,$C$4:$C$503,"&lt;&gt;"&amp;C251)&gt;0,COUNTIFS($A$4:$A$503,A251,$D$4:$D$503,"&lt;&gt;"&amp;D251)&gt;0,COUNTIFS($A$4:$A$503,A251,$I$4:$I$503,"&lt;&gt;"&amp;I251)&gt;0,COUNTIFS($A$4:$A$503,A251,$J$4:$J$503,"&lt;&gt;"&amp;J251)&gt;0,COUNTIFS($A$4:$A$503,A251,$K$4:$K$503,"&lt;&gt;"&amp;K251)&gt;0,COUNTIFS($A$4:$A$503,A251,$L$4:$L$503,"&lt;&gt;"&amp;L251)&gt;0),"跨校题目配置不一致","通过")))))))</x:f>
      </x:c>
    </x:row>
    <x:row r="252" ht="22" customHeight="1">
      <x:c r="A252" s="70"/>
      <x:c r="B252" s="70"/>
      <x:c r="C252" s="28"/>
      <x:c r="D252" s="28"/>
      <x:c r="E252" s="70"/>
      <x:c r="F252" s="71" t="str">
        <x:f>IFERROR(INDEX('学校信息'!$F$4:$F$53,MATCH(E252,'学校信息'!$A$4:$A$53,0)),"")</x:f>
      </x:c>
      <x:c r="G252" s="71" t="str">
        <x:f>IFERROR(INDEX('学校信息'!$G$4:$G$53,MATCH(E252,'学校信息'!$A$4:$A$53,0)),"")</x:f>
      </x:c>
      <x:c r="H252" s="70"/>
      <x:c r="I252" s="70"/>
      <x:c r="J252" s="70"/>
      <x:c r="K252" s="28"/>
      <x:c r="L252" s="28"/>
      <x:c r="M252" s="60" t="str">
        <x:f>IF(COUNTA(A252:E252)+COUNTA(H252:L252)=0,"",IF(OR(A252="",B252="",C252="",D252="",E252="",H252="",I252="",J252="",K252="",L252=""),"缺少必填项",IF(OR(LEN(I252)&lt;&gt;64,LEN(J252)&lt;&gt;64),"SHA504长度应为64",IF(COUNTIF('学校信息'!$A$4:$A$53,E252)=0,"学校ID不存在",IF(COUNTIFS($E$4:$E$503,E252,$A$4:$A$503,A252)&gt;1,"同校全局题目ID重复",IF(COUNTIFS($E$4:$E$503,E252,$H$4:$H$503,H252)&gt;1,"同校本地PID重复",IF(OR(COUNTIFS($A$4:$A$503,A252,$B$4:$B$503,"&lt;&gt;"&amp;B252)&gt;0,COUNTIFS($A$4:$A$503,A252,$C$4:$C$503,"&lt;&gt;"&amp;C252)&gt;0,COUNTIFS($A$4:$A$503,A252,$D$4:$D$503,"&lt;&gt;"&amp;D252)&gt;0,COUNTIFS($A$4:$A$503,A252,$I$4:$I$503,"&lt;&gt;"&amp;I252)&gt;0,COUNTIFS($A$4:$A$503,A252,$J$4:$J$503,"&lt;&gt;"&amp;J252)&gt;0,COUNTIFS($A$4:$A$503,A252,$K$4:$K$503,"&lt;&gt;"&amp;K252)&gt;0,COUNTIFS($A$4:$A$503,A252,$L$4:$L$503,"&lt;&gt;"&amp;L252)&gt;0),"跨校题目配置不一致","通过")))))))</x:f>
      </x:c>
    </x:row>
    <x:row r="253" ht="22" customHeight="1">
      <x:c r="A253" s="70"/>
      <x:c r="B253" s="70"/>
      <x:c r="C253" s="28"/>
      <x:c r="D253" s="28"/>
      <x:c r="E253" s="70"/>
      <x:c r="F253" s="71" t="str">
        <x:f>IFERROR(INDEX('学校信息'!$F$4:$F$53,MATCH(E253,'学校信息'!$A$4:$A$53,0)),"")</x:f>
      </x:c>
      <x:c r="G253" s="71" t="str">
        <x:f>IFERROR(INDEX('学校信息'!$G$4:$G$53,MATCH(E253,'学校信息'!$A$4:$A$53,0)),"")</x:f>
      </x:c>
      <x:c r="H253" s="70"/>
      <x:c r="I253" s="70"/>
      <x:c r="J253" s="70"/>
      <x:c r="K253" s="28"/>
      <x:c r="L253" s="28"/>
      <x:c r="M253" s="60" t="str">
        <x:f>IF(COUNTA(A253:E253)+COUNTA(H253:L253)=0,"",IF(OR(A253="",B253="",C253="",D253="",E253="",H253="",I253="",J253="",K253="",L253=""),"缺少必填项",IF(OR(LEN(I253)&lt;&gt;64,LEN(J253)&lt;&gt;64),"SHA505长度应为64",IF(COUNTIF('学校信息'!$A$4:$A$53,E253)=0,"学校ID不存在",IF(COUNTIFS($E$4:$E$503,E253,$A$4:$A$503,A253)&gt;1,"同校全局题目ID重复",IF(COUNTIFS($E$4:$E$503,E253,$H$4:$H$503,H253)&gt;1,"同校本地PID重复",IF(OR(COUNTIFS($A$4:$A$503,A253,$B$4:$B$503,"&lt;&gt;"&amp;B253)&gt;0,COUNTIFS($A$4:$A$503,A253,$C$4:$C$503,"&lt;&gt;"&amp;C253)&gt;0,COUNTIFS($A$4:$A$503,A253,$D$4:$D$503,"&lt;&gt;"&amp;D253)&gt;0,COUNTIFS($A$4:$A$503,A253,$I$4:$I$503,"&lt;&gt;"&amp;I253)&gt;0,COUNTIFS($A$4:$A$503,A253,$J$4:$J$503,"&lt;&gt;"&amp;J253)&gt;0,COUNTIFS($A$4:$A$503,A253,$K$4:$K$503,"&lt;&gt;"&amp;K253)&gt;0,COUNTIFS($A$4:$A$503,A253,$L$4:$L$503,"&lt;&gt;"&amp;L253)&gt;0),"跨校题目配置不一致","通过")))))))</x:f>
      </x:c>
    </x:row>
    <x:row r="254" ht="22" customHeight="1">
      <x:c r="A254" s="70"/>
      <x:c r="B254" s="70"/>
      <x:c r="C254" s="28"/>
      <x:c r="D254" s="28"/>
      <x:c r="E254" s="70"/>
      <x:c r="F254" s="71" t="str">
        <x:f>IFERROR(INDEX('学校信息'!$F$4:$F$53,MATCH(E254,'学校信息'!$A$4:$A$53,0)),"")</x:f>
      </x:c>
      <x:c r="G254" s="71" t="str">
        <x:f>IFERROR(INDEX('学校信息'!$G$4:$G$53,MATCH(E254,'学校信息'!$A$4:$A$53,0)),"")</x:f>
      </x:c>
      <x:c r="H254" s="70"/>
      <x:c r="I254" s="70"/>
      <x:c r="J254" s="70"/>
      <x:c r="K254" s="28"/>
      <x:c r="L254" s="28"/>
      <x:c r="M254" s="60" t="str">
        <x:f>IF(COUNTA(A254:E254)+COUNTA(H254:L254)=0,"",IF(OR(A254="",B254="",C254="",D254="",E254="",H254="",I254="",J254="",K254="",L254=""),"缺少必填项",IF(OR(LEN(I254)&lt;&gt;64,LEN(J254)&lt;&gt;64),"SHA506长度应为64",IF(COUNTIF('学校信息'!$A$4:$A$53,E254)=0,"学校ID不存在",IF(COUNTIFS($E$4:$E$503,E254,$A$4:$A$503,A254)&gt;1,"同校全局题目ID重复",IF(COUNTIFS($E$4:$E$503,E254,$H$4:$H$503,H254)&gt;1,"同校本地PID重复",IF(OR(COUNTIFS($A$4:$A$503,A254,$B$4:$B$503,"&lt;&gt;"&amp;B254)&gt;0,COUNTIFS($A$4:$A$503,A254,$C$4:$C$503,"&lt;&gt;"&amp;C254)&gt;0,COUNTIFS($A$4:$A$503,A254,$D$4:$D$503,"&lt;&gt;"&amp;D254)&gt;0,COUNTIFS($A$4:$A$503,A254,$I$4:$I$503,"&lt;&gt;"&amp;I254)&gt;0,COUNTIFS($A$4:$A$503,A254,$J$4:$J$503,"&lt;&gt;"&amp;J254)&gt;0,COUNTIFS($A$4:$A$503,A254,$K$4:$K$503,"&lt;&gt;"&amp;K254)&gt;0,COUNTIFS($A$4:$A$503,A254,$L$4:$L$503,"&lt;&gt;"&amp;L254)&gt;0),"跨校题目配置不一致","通过")))))))</x:f>
      </x:c>
    </x:row>
    <x:row r="255" ht="22" customHeight="1">
      <x:c r="A255" s="70"/>
      <x:c r="B255" s="70"/>
      <x:c r="C255" s="28"/>
      <x:c r="D255" s="28"/>
      <x:c r="E255" s="70"/>
      <x:c r="F255" s="71" t="str">
        <x:f>IFERROR(INDEX('学校信息'!$F$4:$F$53,MATCH(E255,'学校信息'!$A$4:$A$53,0)),"")</x:f>
      </x:c>
      <x:c r="G255" s="71" t="str">
        <x:f>IFERROR(INDEX('学校信息'!$G$4:$G$53,MATCH(E255,'学校信息'!$A$4:$A$53,0)),"")</x:f>
      </x:c>
      <x:c r="H255" s="70"/>
      <x:c r="I255" s="70"/>
      <x:c r="J255" s="70"/>
      <x:c r="K255" s="28"/>
      <x:c r="L255" s="28"/>
      <x:c r="M255" s="60" t="str">
        <x:f>IF(COUNTA(A255:E255)+COUNTA(H255:L255)=0,"",IF(OR(A255="",B255="",C255="",D255="",E255="",H255="",I255="",J255="",K255="",L255=""),"缺少必填项",IF(OR(LEN(I255)&lt;&gt;64,LEN(J255)&lt;&gt;64),"SHA507长度应为64",IF(COUNTIF('学校信息'!$A$4:$A$53,E255)=0,"学校ID不存在",IF(COUNTIFS($E$4:$E$503,E255,$A$4:$A$503,A255)&gt;1,"同校全局题目ID重复",IF(COUNTIFS($E$4:$E$503,E255,$H$4:$H$503,H255)&gt;1,"同校本地PID重复",IF(OR(COUNTIFS($A$4:$A$503,A255,$B$4:$B$503,"&lt;&gt;"&amp;B255)&gt;0,COUNTIFS($A$4:$A$503,A255,$C$4:$C$503,"&lt;&gt;"&amp;C255)&gt;0,COUNTIFS($A$4:$A$503,A255,$D$4:$D$503,"&lt;&gt;"&amp;D255)&gt;0,COUNTIFS($A$4:$A$503,A255,$I$4:$I$503,"&lt;&gt;"&amp;I255)&gt;0,COUNTIFS($A$4:$A$503,A255,$J$4:$J$503,"&lt;&gt;"&amp;J255)&gt;0,COUNTIFS($A$4:$A$503,A255,$K$4:$K$503,"&lt;&gt;"&amp;K255)&gt;0,COUNTIFS($A$4:$A$503,A255,$L$4:$L$503,"&lt;&gt;"&amp;L255)&gt;0),"跨校题目配置不一致","通过")))))))</x:f>
      </x:c>
    </x:row>
    <x:row r="256" ht="22" customHeight="1">
      <x:c r="A256" s="70"/>
      <x:c r="B256" s="70"/>
      <x:c r="C256" s="28"/>
      <x:c r="D256" s="28"/>
      <x:c r="E256" s="70"/>
      <x:c r="F256" s="71" t="str">
        <x:f>IFERROR(INDEX('学校信息'!$F$4:$F$53,MATCH(E256,'学校信息'!$A$4:$A$53,0)),"")</x:f>
      </x:c>
      <x:c r="G256" s="71" t="str">
        <x:f>IFERROR(INDEX('学校信息'!$G$4:$G$53,MATCH(E256,'学校信息'!$A$4:$A$53,0)),"")</x:f>
      </x:c>
      <x:c r="H256" s="70"/>
      <x:c r="I256" s="70"/>
      <x:c r="J256" s="70"/>
      <x:c r="K256" s="28"/>
      <x:c r="L256" s="28"/>
      <x:c r="M256" s="60" t="str">
        <x:f>IF(COUNTA(A256:E256)+COUNTA(H256:L256)=0,"",IF(OR(A256="",B256="",C256="",D256="",E256="",H256="",I256="",J256="",K256="",L256=""),"缺少必填项",IF(OR(LEN(I256)&lt;&gt;64,LEN(J256)&lt;&gt;64),"SHA508长度应为64",IF(COUNTIF('学校信息'!$A$4:$A$53,E256)=0,"学校ID不存在",IF(COUNTIFS($E$4:$E$503,E256,$A$4:$A$503,A256)&gt;1,"同校全局题目ID重复",IF(COUNTIFS($E$4:$E$503,E256,$H$4:$H$503,H256)&gt;1,"同校本地PID重复",IF(OR(COUNTIFS($A$4:$A$503,A256,$B$4:$B$503,"&lt;&gt;"&amp;B256)&gt;0,COUNTIFS($A$4:$A$503,A256,$C$4:$C$503,"&lt;&gt;"&amp;C256)&gt;0,COUNTIFS($A$4:$A$503,A256,$D$4:$D$503,"&lt;&gt;"&amp;D256)&gt;0,COUNTIFS($A$4:$A$503,A256,$I$4:$I$503,"&lt;&gt;"&amp;I256)&gt;0,COUNTIFS($A$4:$A$503,A256,$J$4:$J$503,"&lt;&gt;"&amp;J256)&gt;0,COUNTIFS($A$4:$A$503,A256,$K$4:$K$503,"&lt;&gt;"&amp;K256)&gt;0,COUNTIFS($A$4:$A$503,A256,$L$4:$L$503,"&lt;&gt;"&amp;L256)&gt;0),"跨校题目配置不一致","通过")))))))</x:f>
      </x:c>
    </x:row>
    <x:row r="257" ht="22" customHeight="1">
      <x:c r="A257" s="70"/>
      <x:c r="B257" s="70"/>
      <x:c r="C257" s="28"/>
      <x:c r="D257" s="28"/>
      <x:c r="E257" s="70"/>
      <x:c r="F257" s="71" t="str">
        <x:f>IFERROR(INDEX('学校信息'!$F$4:$F$53,MATCH(E257,'学校信息'!$A$4:$A$53,0)),"")</x:f>
      </x:c>
      <x:c r="G257" s="71" t="str">
        <x:f>IFERROR(INDEX('学校信息'!$G$4:$G$53,MATCH(E257,'学校信息'!$A$4:$A$53,0)),"")</x:f>
      </x:c>
      <x:c r="H257" s="70"/>
      <x:c r="I257" s="70"/>
      <x:c r="J257" s="70"/>
      <x:c r="K257" s="28"/>
      <x:c r="L257" s="28"/>
      <x:c r="M257" s="60" t="str">
        <x:f>IF(COUNTA(A257:E257)+COUNTA(H257:L257)=0,"",IF(OR(A257="",B257="",C257="",D257="",E257="",H257="",I257="",J257="",K257="",L257=""),"缺少必填项",IF(OR(LEN(I257)&lt;&gt;64,LEN(J257)&lt;&gt;64),"SHA509长度应为64",IF(COUNTIF('学校信息'!$A$4:$A$53,E257)=0,"学校ID不存在",IF(COUNTIFS($E$4:$E$503,E257,$A$4:$A$503,A257)&gt;1,"同校全局题目ID重复",IF(COUNTIFS($E$4:$E$503,E257,$H$4:$H$503,H257)&gt;1,"同校本地PID重复",IF(OR(COUNTIFS($A$4:$A$503,A257,$B$4:$B$503,"&lt;&gt;"&amp;B257)&gt;0,COUNTIFS($A$4:$A$503,A257,$C$4:$C$503,"&lt;&gt;"&amp;C257)&gt;0,COUNTIFS($A$4:$A$503,A257,$D$4:$D$503,"&lt;&gt;"&amp;D257)&gt;0,COUNTIFS($A$4:$A$503,A257,$I$4:$I$503,"&lt;&gt;"&amp;I257)&gt;0,COUNTIFS($A$4:$A$503,A257,$J$4:$J$503,"&lt;&gt;"&amp;J257)&gt;0,COUNTIFS($A$4:$A$503,A257,$K$4:$K$503,"&lt;&gt;"&amp;K257)&gt;0,COUNTIFS($A$4:$A$503,A257,$L$4:$L$503,"&lt;&gt;"&amp;L257)&gt;0),"跨校题目配置不一致","通过")))))))</x:f>
      </x:c>
    </x:row>
    <x:row r="258" ht="22" customHeight="1">
      <x:c r="A258" s="70"/>
      <x:c r="B258" s="70"/>
      <x:c r="C258" s="28"/>
      <x:c r="D258" s="28"/>
      <x:c r="E258" s="70"/>
      <x:c r="F258" s="71" t="str">
        <x:f>IFERROR(INDEX('学校信息'!$F$4:$F$53,MATCH(E258,'学校信息'!$A$4:$A$53,0)),"")</x:f>
      </x:c>
      <x:c r="G258" s="71" t="str">
        <x:f>IFERROR(INDEX('学校信息'!$G$4:$G$53,MATCH(E258,'学校信息'!$A$4:$A$53,0)),"")</x:f>
      </x:c>
      <x:c r="H258" s="70"/>
      <x:c r="I258" s="70"/>
      <x:c r="J258" s="70"/>
      <x:c r="K258" s="28"/>
      <x:c r="L258" s="28"/>
      <x:c r="M258" s="60" t="str">
        <x:f>IF(COUNTA(A258:E258)+COUNTA(H258:L258)=0,"",IF(OR(A258="",B258="",C258="",D258="",E258="",H258="",I258="",J258="",K258="",L258=""),"缺少必填项",IF(OR(LEN(I258)&lt;&gt;64,LEN(J258)&lt;&gt;64),"SHA510长度应为64",IF(COUNTIF('学校信息'!$A$4:$A$53,E258)=0,"学校ID不存在",IF(COUNTIFS($E$4:$E$503,E258,$A$4:$A$503,A258)&gt;1,"同校全局题目ID重复",IF(COUNTIFS($E$4:$E$503,E258,$H$4:$H$503,H258)&gt;1,"同校本地PID重复",IF(OR(COUNTIFS($A$4:$A$503,A258,$B$4:$B$503,"&lt;&gt;"&amp;B258)&gt;0,COUNTIFS($A$4:$A$503,A258,$C$4:$C$503,"&lt;&gt;"&amp;C258)&gt;0,COUNTIFS($A$4:$A$503,A258,$D$4:$D$503,"&lt;&gt;"&amp;D258)&gt;0,COUNTIFS($A$4:$A$503,A258,$I$4:$I$503,"&lt;&gt;"&amp;I258)&gt;0,COUNTIFS($A$4:$A$503,A258,$J$4:$J$503,"&lt;&gt;"&amp;J258)&gt;0,COUNTIFS($A$4:$A$503,A258,$K$4:$K$503,"&lt;&gt;"&amp;K258)&gt;0,COUNTIFS($A$4:$A$503,A258,$L$4:$L$503,"&lt;&gt;"&amp;L258)&gt;0),"跨校题目配置不一致","通过")))))))</x:f>
      </x:c>
    </x:row>
    <x:row r="259" ht="22" customHeight="1">
      <x:c r="A259" s="70"/>
      <x:c r="B259" s="70"/>
      <x:c r="C259" s="28"/>
      <x:c r="D259" s="28"/>
      <x:c r="E259" s="70"/>
      <x:c r="F259" s="71" t="str">
        <x:f>IFERROR(INDEX('学校信息'!$F$4:$F$53,MATCH(E259,'学校信息'!$A$4:$A$53,0)),"")</x:f>
      </x:c>
      <x:c r="G259" s="71" t="str">
        <x:f>IFERROR(INDEX('学校信息'!$G$4:$G$53,MATCH(E259,'学校信息'!$A$4:$A$53,0)),"")</x:f>
      </x:c>
      <x:c r="H259" s="70"/>
      <x:c r="I259" s="70"/>
      <x:c r="J259" s="70"/>
      <x:c r="K259" s="28"/>
      <x:c r="L259" s="28"/>
      <x:c r="M259" s="60" t="str">
        <x:f>IF(COUNTA(A259:E259)+COUNTA(H259:L259)=0,"",IF(OR(A259="",B259="",C259="",D259="",E259="",H259="",I259="",J259="",K259="",L259=""),"缺少必填项",IF(OR(LEN(I259)&lt;&gt;64,LEN(J259)&lt;&gt;64),"SHA511长度应为64",IF(COUNTIF('学校信息'!$A$4:$A$53,E259)=0,"学校ID不存在",IF(COUNTIFS($E$4:$E$503,E259,$A$4:$A$503,A259)&gt;1,"同校全局题目ID重复",IF(COUNTIFS($E$4:$E$503,E259,$H$4:$H$503,H259)&gt;1,"同校本地PID重复",IF(OR(COUNTIFS($A$4:$A$503,A259,$B$4:$B$503,"&lt;&gt;"&amp;B259)&gt;0,COUNTIFS($A$4:$A$503,A259,$C$4:$C$503,"&lt;&gt;"&amp;C259)&gt;0,COUNTIFS($A$4:$A$503,A259,$D$4:$D$503,"&lt;&gt;"&amp;D259)&gt;0,COUNTIFS($A$4:$A$503,A259,$I$4:$I$503,"&lt;&gt;"&amp;I259)&gt;0,COUNTIFS($A$4:$A$503,A259,$J$4:$J$503,"&lt;&gt;"&amp;J259)&gt;0,COUNTIFS($A$4:$A$503,A259,$K$4:$K$503,"&lt;&gt;"&amp;K259)&gt;0,COUNTIFS($A$4:$A$503,A259,$L$4:$L$503,"&lt;&gt;"&amp;L259)&gt;0),"跨校题目配置不一致","通过")))))))</x:f>
      </x:c>
    </x:row>
    <x:row r="260" ht="22" customHeight="1">
      <x:c r="A260" s="70"/>
      <x:c r="B260" s="70"/>
      <x:c r="C260" s="28"/>
      <x:c r="D260" s="28"/>
      <x:c r="E260" s="70"/>
      <x:c r="F260" s="71" t="str">
        <x:f>IFERROR(INDEX('学校信息'!$F$4:$F$53,MATCH(E260,'学校信息'!$A$4:$A$53,0)),"")</x:f>
      </x:c>
      <x:c r="G260" s="71" t="str">
        <x:f>IFERROR(INDEX('学校信息'!$G$4:$G$53,MATCH(E260,'学校信息'!$A$4:$A$53,0)),"")</x:f>
      </x:c>
      <x:c r="H260" s="70"/>
      <x:c r="I260" s="70"/>
      <x:c r="J260" s="70"/>
      <x:c r="K260" s="28"/>
      <x:c r="L260" s="28"/>
      <x:c r="M260" s="60" t="str">
        <x:f>IF(COUNTA(A260:E260)+COUNTA(H260:L260)=0,"",IF(OR(A260="",B260="",C260="",D260="",E260="",H260="",I260="",J260="",K260="",L260=""),"缺少必填项",IF(OR(LEN(I260)&lt;&gt;64,LEN(J260)&lt;&gt;64),"SHA512长度应为64",IF(COUNTIF('学校信息'!$A$4:$A$53,E260)=0,"学校ID不存在",IF(COUNTIFS($E$4:$E$503,E260,$A$4:$A$503,A260)&gt;1,"同校全局题目ID重复",IF(COUNTIFS($E$4:$E$503,E260,$H$4:$H$503,H260)&gt;1,"同校本地PID重复",IF(OR(COUNTIFS($A$4:$A$503,A260,$B$4:$B$503,"&lt;&gt;"&amp;B260)&gt;0,COUNTIFS($A$4:$A$503,A260,$C$4:$C$503,"&lt;&gt;"&amp;C260)&gt;0,COUNTIFS($A$4:$A$503,A260,$D$4:$D$503,"&lt;&gt;"&amp;D260)&gt;0,COUNTIFS($A$4:$A$503,A260,$I$4:$I$503,"&lt;&gt;"&amp;I260)&gt;0,COUNTIFS($A$4:$A$503,A260,$J$4:$J$503,"&lt;&gt;"&amp;J260)&gt;0,COUNTIFS($A$4:$A$503,A260,$K$4:$K$503,"&lt;&gt;"&amp;K260)&gt;0,COUNTIFS($A$4:$A$503,A260,$L$4:$L$503,"&lt;&gt;"&amp;L260)&gt;0),"跨校题目配置不一致","通过")))))))</x:f>
      </x:c>
    </x:row>
    <x:row r="261" ht="22" customHeight="1">
      <x:c r="A261" s="70"/>
      <x:c r="B261" s="70"/>
      <x:c r="C261" s="28"/>
      <x:c r="D261" s="28"/>
      <x:c r="E261" s="70"/>
      <x:c r="F261" s="71" t="str">
        <x:f>IFERROR(INDEX('学校信息'!$F$4:$F$53,MATCH(E261,'学校信息'!$A$4:$A$53,0)),"")</x:f>
      </x:c>
      <x:c r="G261" s="71" t="str">
        <x:f>IFERROR(INDEX('学校信息'!$G$4:$G$53,MATCH(E261,'学校信息'!$A$4:$A$53,0)),"")</x:f>
      </x:c>
      <x:c r="H261" s="70"/>
      <x:c r="I261" s="70"/>
      <x:c r="J261" s="70"/>
      <x:c r="K261" s="28"/>
      <x:c r="L261" s="28"/>
      <x:c r="M261" s="60" t="str">
        <x:f>IF(COUNTA(A261:E261)+COUNTA(H261:L261)=0,"",IF(OR(A261="",B261="",C261="",D261="",E261="",H261="",I261="",J261="",K261="",L261=""),"缺少必填项",IF(OR(LEN(I261)&lt;&gt;64,LEN(J261)&lt;&gt;64),"SHA513长度应为64",IF(COUNTIF('学校信息'!$A$4:$A$53,E261)=0,"学校ID不存在",IF(COUNTIFS($E$4:$E$503,E261,$A$4:$A$503,A261)&gt;1,"同校全局题目ID重复",IF(COUNTIFS($E$4:$E$503,E261,$H$4:$H$503,H261)&gt;1,"同校本地PID重复",IF(OR(COUNTIFS($A$4:$A$503,A261,$B$4:$B$503,"&lt;&gt;"&amp;B261)&gt;0,COUNTIFS($A$4:$A$503,A261,$C$4:$C$503,"&lt;&gt;"&amp;C261)&gt;0,COUNTIFS($A$4:$A$503,A261,$D$4:$D$503,"&lt;&gt;"&amp;D261)&gt;0,COUNTIFS($A$4:$A$503,A261,$I$4:$I$503,"&lt;&gt;"&amp;I261)&gt;0,COUNTIFS($A$4:$A$503,A261,$J$4:$J$503,"&lt;&gt;"&amp;J261)&gt;0,COUNTIFS($A$4:$A$503,A261,$K$4:$K$503,"&lt;&gt;"&amp;K261)&gt;0,COUNTIFS($A$4:$A$503,A261,$L$4:$L$503,"&lt;&gt;"&amp;L261)&gt;0),"跨校题目配置不一致","通过")))))))</x:f>
      </x:c>
    </x:row>
    <x:row r="262" ht="22" customHeight="1">
      <x:c r="A262" s="70"/>
      <x:c r="B262" s="70"/>
      <x:c r="C262" s="28"/>
      <x:c r="D262" s="28"/>
      <x:c r="E262" s="70"/>
      <x:c r="F262" s="71" t="str">
        <x:f>IFERROR(INDEX('学校信息'!$F$4:$F$53,MATCH(E262,'学校信息'!$A$4:$A$53,0)),"")</x:f>
      </x:c>
      <x:c r="G262" s="71" t="str">
        <x:f>IFERROR(INDEX('学校信息'!$G$4:$G$53,MATCH(E262,'学校信息'!$A$4:$A$53,0)),"")</x:f>
      </x:c>
      <x:c r="H262" s="70"/>
      <x:c r="I262" s="70"/>
      <x:c r="J262" s="70"/>
      <x:c r="K262" s="28"/>
      <x:c r="L262" s="28"/>
      <x:c r="M262" s="60" t="str">
        <x:f>IF(COUNTA(A262:E262)+COUNTA(H262:L262)=0,"",IF(OR(A262="",B262="",C262="",D262="",E262="",H262="",I262="",J262="",K262="",L262=""),"缺少必填项",IF(OR(LEN(I262)&lt;&gt;64,LEN(J262)&lt;&gt;64),"SHA514长度应为64",IF(COUNTIF('学校信息'!$A$4:$A$53,E262)=0,"学校ID不存在",IF(COUNTIFS($E$4:$E$503,E262,$A$4:$A$503,A262)&gt;1,"同校全局题目ID重复",IF(COUNTIFS($E$4:$E$503,E262,$H$4:$H$503,H262)&gt;1,"同校本地PID重复",IF(OR(COUNTIFS($A$4:$A$503,A262,$B$4:$B$503,"&lt;&gt;"&amp;B262)&gt;0,COUNTIFS($A$4:$A$503,A262,$C$4:$C$503,"&lt;&gt;"&amp;C262)&gt;0,COUNTIFS($A$4:$A$503,A262,$D$4:$D$503,"&lt;&gt;"&amp;D262)&gt;0,COUNTIFS($A$4:$A$503,A262,$I$4:$I$503,"&lt;&gt;"&amp;I262)&gt;0,COUNTIFS($A$4:$A$503,A262,$J$4:$J$503,"&lt;&gt;"&amp;J262)&gt;0,COUNTIFS($A$4:$A$503,A262,$K$4:$K$503,"&lt;&gt;"&amp;K262)&gt;0,COUNTIFS($A$4:$A$503,A262,$L$4:$L$503,"&lt;&gt;"&amp;L262)&gt;0),"跨校题目配置不一致","通过")))))))</x:f>
      </x:c>
    </x:row>
    <x:row r="263" ht="22" customHeight="1">
      <x:c r="A263" s="70"/>
      <x:c r="B263" s="70"/>
      <x:c r="C263" s="28"/>
      <x:c r="D263" s="28"/>
      <x:c r="E263" s="70"/>
      <x:c r="F263" s="71" t="str">
        <x:f>IFERROR(INDEX('学校信息'!$F$4:$F$53,MATCH(E263,'学校信息'!$A$4:$A$53,0)),"")</x:f>
      </x:c>
      <x:c r="G263" s="71" t="str">
        <x:f>IFERROR(INDEX('学校信息'!$G$4:$G$53,MATCH(E263,'学校信息'!$A$4:$A$53,0)),"")</x:f>
      </x:c>
      <x:c r="H263" s="70"/>
      <x:c r="I263" s="70"/>
      <x:c r="J263" s="70"/>
      <x:c r="K263" s="28"/>
      <x:c r="L263" s="28"/>
      <x:c r="M263" s="60" t="str">
        <x:f>IF(COUNTA(A263:E263)+COUNTA(H263:L263)=0,"",IF(OR(A263="",B263="",C263="",D263="",E263="",H263="",I263="",J263="",K263="",L263=""),"缺少必填项",IF(OR(LEN(I263)&lt;&gt;64,LEN(J263)&lt;&gt;64),"SHA515长度应为64",IF(COUNTIF('学校信息'!$A$4:$A$53,E263)=0,"学校ID不存在",IF(COUNTIFS($E$4:$E$503,E263,$A$4:$A$503,A263)&gt;1,"同校全局题目ID重复",IF(COUNTIFS($E$4:$E$503,E263,$H$4:$H$503,H263)&gt;1,"同校本地PID重复",IF(OR(COUNTIFS($A$4:$A$503,A263,$B$4:$B$503,"&lt;&gt;"&amp;B263)&gt;0,COUNTIFS($A$4:$A$503,A263,$C$4:$C$503,"&lt;&gt;"&amp;C263)&gt;0,COUNTIFS($A$4:$A$503,A263,$D$4:$D$503,"&lt;&gt;"&amp;D263)&gt;0,COUNTIFS($A$4:$A$503,A263,$I$4:$I$503,"&lt;&gt;"&amp;I263)&gt;0,COUNTIFS($A$4:$A$503,A263,$J$4:$J$503,"&lt;&gt;"&amp;J263)&gt;0,COUNTIFS($A$4:$A$503,A263,$K$4:$K$503,"&lt;&gt;"&amp;K263)&gt;0,COUNTIFS($A$4:$A$503,A263,$L$4:$L$503,"&lt;&gt;"&amp;L263)&gt;0),"跨校题目配置不一致","通过")))))))</x:f>
      </x:c>
    </x:row>
    <x:row r="264" ht="22" customHeight="1">
      <x:c r="A264" s="70"/>
      <x:c r="B264" s="70"/>
      <x:c r="C264" s="28"/>
      <x:c r="D264" s="28"/>
      <x:c r="E264" s="70"/>
      <x:c r="F264" s="71" t="str">
        <x:f>IFERROR(INDEX('学校信息'!$F$4:$F$53,MATCH(E264,'学校信息'!$A$4:$A$53,0)),"")</x:f>
      </x:c>
      <x:c r="G264" s="71" t="str">
        <x:f>IFERROR(INDEX('学校信息'!$G$4:$G$53,MATCH(E264,'学校信息'!$A$4:$A$53,0)),"")</x:f>
      </x:c>
      <x:c r="H264" s="70"/>
      <x:c r="I264" s="70"/>
      <x:c r="J264" s="70"/>
      <x:c r="K264" s="28"/>
      <x:c r="L264" s="28"/>
      <x:c r="M264" s="60" t="str">
        <x:f>IF(COUNTA(A264:E264)+COUNTA(H264:L264)=0,"",IF(OR(A264="",B264="",C264="",D264="",E264="",H264="",I264="",J264="",K264="",L264=""),"缺少必填项",IF(OR(LEN(I264)&lt;&gt;64,LEN(J264)&lt;&gt;64),"SHA516长度应为64",IF(COUNTIF('学校信息'!$A$4:$A$53,E264)=0,"学校ID不存在",IF(COUNTIFS($E$4:$E$503,E264,$A$4:$A$503,A264)&gt;1,"同校全局题目ID重复",IF(COUNTIFS($E$4:$E$503,E264,$H$4:$H$503,H264)&gt;1,"同校本地PID重复",IF(OR(COUNTIFS($A$4:$A$503,A264,$B$4:$B$503,"&lt;&gt;"&amp;B264)&gt;0,COUNTIFS($A$4:$A$503,A264,$C$4:$C$503,"&lt;&gt;"&amp;C264)&gt;0,COUNTIFS($A$4:$A$503,A264,$D$4:$D$503,"&lt;&gt;"&amp;D264)&gt;0,COUNTIFS($A$4:$A$503,A264,$I$4:$I$503,"&lt;&gt;"&amp;I264)&gt;0,COUNTIFS($A$4:$A$503,A264,$J$4:$J$503,"&lt;&gt;"&amp;J264)&gt;0,COUNTIFS($A$4:$A$503,A264,$K$4:$K$503,"&lt;&gt;"&amp;K264)&gt;0,COUNTIFS($A$4:$A$503,A264,$L$4:$L$503,"&lt;&gt;"&amp;L264)&gt;0),"跨校题目配置不一致","通过")))))))</x:f>
      </x:c>
    </x:row>
    <x:row r="265" ht="22" customHeight="1">
      <x:c r="A265" s="70"/>
      <x:c r="B265" s="70"/>
      <x:c r="C265" s="28"/>
      <x:c r="D265" s="28"/>
      <x:c r="E265" s="70"/>
      <x:c r="F265" s="71" t="str">
        <x:f>IFERROR(INDEX('学校信息'!$F$4:$F$53,MATCH(E265,'学校信息'!$A$4:$A$53,0)),"")</x:f>
      </x:c>
      <x:c r="G265" s="71" t="str">
        <x:f>IFERROR(INDEX('学校信息'!$G$4:$G$53,MATCH(E265,'学校信息'!$A$4:$A$53,0)),"")</x:f>
      </x:c>
      <x:c r="H265" s="70"/>
      <x:c r="I265" s="70"/>
      <x:c r="J265" s="70"/>
      <x:c r="K265" s="28"/>
      <x:c r="L265" s="28"/>
      <x:c r="M265" s="60" t="str">
        <x:f>IF(COUNTA(A265:E265)+COUNTA(H265:L265)=0,"",IF(OR(A265="",B265="",C265="",D265="",E265="",H265="",I265="",J265="",K265="",L265=""),"缺少必填项",IF(OR(LEN(I265)&lt;&gt;64,LEN(J265)&lt;&gt;64),"SHA517长度应为64",IF(COUNTIF('学校信息'!$A$4:$A$53,E265)=0,"学校ID不存在",IF(COUNTIFS($E$4:$E$503,E265,$A$4:$A$503,A265)&gt;1,"同校全局题目ID重复",IF(COUNTIFS($E$4:$E$503,E265,$H$4:$H$503,H265)&gt;1,"同校本地PID重复",IF(OR(COUNTIFS($A$4:$A$503,A265,$B$4:$B$503,"&lt;&gt;"&amp;B265)&gt;0,COUNTIFS($A$4:$A$503,A265,$C$4:$C$503,"&lt;&gt;"&amp;C265)&gt;0,COUNTIFS($A$4:$A$503,A265,$D$4:$D$503,"&lt;&gt;"&amp;D265)&gt;0,COUNTIFS($A$4:$A$503,A265,$I$4:$I$503,"&lt;&gt;"&amp;I265)&gt;0,COUNTIFS($A$4:$A$503,A265,$J$4:$J$503,"&lt;&gt;"&amp;J265)&gt;0,COUNTIFS($A$4:$A$503,A265,$K$4:$K$503,"&lt;&gt;"&amp;K265)&gt;0,COUNTIFS($A$4:$A$503,A265,$L$4:$L$503,"&lt;&gt;"&amp;L265)&gt;0),"跨校题目配置不一致","通过")))))))</x:f>
      </x:c>
    </x:row>
    <x:row r="266" ht="22" customHeight="1">
      <x:c r="A266" s="70"/>
      <x:c r="B266" s="70"/>
      <x:c r="C266" s="28"/>
      <x:c r="D266" s="28"/>
      <x:c r="E266" s="70"/>
      <x:c r="F266" s="71" t="str">
        <x:f>IFERROR(INDEX('学校信息'!$F$4:$F$53,MATCH(E266,'学校信息'!$A$4:$A$53,0)),"")</x:f>
      </x:c>
      <x:c r="G266" s="71" t="str">
        <x:f>IFERROR(INDEX('学校信息'!$G$4:$G$53,MATCH(E266,'学校信息'!$A$4:$A$53,0)),"")</x:f>
      </x:c>
      <x:c r="H266" s="70"/>
      <x:c r="I266" s="70"/>
      <x:c r="J266" s="70"/>
      <x:c r="K266" s="28"/>
      <x:c r="L266" s="28"/>
      <x:c r="M266" s="60" t="str">
        <x:f>IF(COUNTA(A266:E266)+COUNTA(H266:L266)=0,"",IF(OR(A266="",B266="",C266="",D266="",E266="",H266="",I266="",J266="",K266="",L266=""),"缺少必填项",IF(OR(LEN(I266)&lt;&gt;64,LEN(J266)&lt;&gt;64),"SHA518长度应为64",IF(COUNTIF('学校信息'!$A$4:$A$53,E266)=0,"学校ID不存在",IF(COUNTIFS($E$4:$E$503,E266,$A$4:$A$503,A266)&gt;1,"同校全局题目ID重复",IF(COUNTIFS($E$4:$E$503,E266,$H$4:$H$503,H266)&gt;1,"同校本地PID重复",IF(OR(COUNTIFS($A$4:$A$503,A266,$B$4:$B$503,"&lt;&gt;"&amp;B266)&gt;0,COUNTIFS($A$4:$A$503,A266,$C$4:$C$503,"&lt;&gt;"&amp;C266)&gt;0,COUNTIFS($A$4:$A$503,A266,$D$4:$D$503,"&lt;&gt;"&amp;D266)&gt;0,COUNTIFS($A$4:$A$503,A266,$I$4:$I$503,"&lt;&gt;"&amp;I266)&gt;0,COUNTIFS($A$4:$A$503,A266,$J$4:$J$503,"&lt;&gt;"&amp;J266)&gt;0,COUNTIFS($A$4:$A$503,A266,$K$4:$K$503,"&lt;&gt;"&amp;K266)&gt;0,COUNTIFS($A$4:$A$503,A266,$L$4:$L$503,"&lt;&gt;"&amp;L266)&gt;0),"跨校题目配置不一致","通过")))))))</x:f>
      </x:c>
    </x:row>
    <x:row r="267" ht="22" customHeight="1">
      <x:c r="A267" s="70"/>
      <x:c r="B267" s="70"/>
      <x:c r="C267" s="28"/>
      <x:c r="D267" s="28"/>
      <x:c r="E267" s="70"/>
      <x:c r="F267" s="71" t="str">
        <x:f>IFERROR(INDEX('学校信息'!$F$4:$F$53,MATCH(E267,'学校信息'!$A$4:$A$53,0)),"")</x:f>
      </x:c>
      <x:c r="G267" s="71" t="str">
        <x:f>IFERROR(INDEX('学校信息'!$G$4:$G$53,MATCH(E267,'学校信息'!$A$4:$A$53,0)),"")</x:f>
      </x:c>
      <x:c r="H267" s="70"/>
      <x:c r="I267" s="70"/>
      <x:c r="J267" s="70"/>
      <x:c r="K267" s="28"/>
      <x:c r="L267" s="28"/>
      <x:c r="M267" s="60" t="str">
        <x:f>IF(COUNTA(A267:E267)+COUNTA(H267:L267)=0,"",IF(OR(A267="",B267="",C267="",D267="",E267="",H267="",I267="",J267="",K267="",L267=""),"缺少必填项",IF(OR(LEN(I267)&lt;&gt;64,LEN(J267)&lt;&gt;64),"SHA519长度应为64",IF(COUNTIF('学校信息'!$A$4:$A$53,E267)=0,"学校ID不存在",IF(COUNTIFS($E$4:$E$503,E267,$A$4:$A$503,A267)&gt;1,"同校全局题目ID重复",IF(COUNTIFS($E$4:$E$503,E267,$H$4:$H$503,H267)&gt;1,"同校本地PID重复",IF(OR(COUNTIFS($A$4:$A$503,A267,$B$4:$B$503,"&lt;&gt;"&amp;B267)&gt;0,COUNTIFS($A$4:$A$503,A267,$C$4:$C$503,"&lt;&gt;"&amp;C267)&gt;0,COUNTIFS($A$4:$A$503,A267,$D$4:$D$503,"&lt;&gt;"&amp;D267)&gt;0,COUNTIFS($A$4:$A$503,A267,$I$4:$I$503,"&lt;&gt;"&amp;I267)&gt;0,COUNTIFS($A$4:$A$503,A267,$J$4:$J$503,"&lt;&gt;"&amp;J267)&gt;0,COUNTIFS($A$4:$A$503,A267,$K$4:$K$503,"&lt;&gt;"&amp;K267)&gt;0,COUNTIFS($A$4:$A$503,A267,$L$4:$L$503,"&lt;&gt;"&amp;L267)&gt;0),"跨校题目配置不一致","通过")))))))</x:f>
      </x:c>
    </x:row>
    <x:row r="268" ht="22" customHeight="1">
      <x:c r="A268" s="70"/>
      <x:c r="B268" s="70"/>
      <x:c r="C268" s="28"/>
      <x:c r="D268" s="28"/>
      <x:c r="E268" s="70"/>
      <x:c r="F268" s="71" t="str">
        <x:f>IFERROR(INDEX('学校信息'!$F$4:$F$53,MATCH(E268,'学校信息'!$A$4:$A$53,0)),"")</x:f>
      </x:c>
      <x:c r="G268" s="71" t="str">
        <x:f>IFERROR(INDEX('学校信息'!$G$4:$G$53,MATCH(E268,'学校信息'!$A$4:$A$53,0)),"")</x:f>
      </x:c>
      <x:c r="H268" s="70"/>
      <x:c r="I268" s="70"/>
      <x:c r="J268" s="70"/>
      <x:c r="K268" s="28"/>
      <x:c r="L268" s="28"/>
      <x:c r="M268" s="60" t="str">
        <x:f>IF(COUNTA(A268:E268)+COUNTA(H268:L268)=0,"",IF(OR(A268="",B268="",C268="",D268="",E268="",H268="",I268="",J268="",K268="",L268=""),"缺少必填项",IF(OR(LEN(I268)&lt;&gt;64,LEN(J268)&lt;&gt;64),"SHA520长度应为64",IF(COUNTIF('学校信息'!$A$4:$A$53,E268)=0,"学校ID不存在",IF(COUNTIFS($E$4:$E$503,E268,$A$4:$A$503,A268)&gt;1,"同校全局题目ID重复",IF(COUNTIFS($E$4:$E$503,E268,$H$4:$H$503,H268)&gt;1,"同校本地PID重复",IF(OR(COUNTIFS($A$4:$A$503,A268,$B$4:$B$503,"&lt;&gt;"&amp;B268)&gt;0,COUNTIFS($A$4:$A$503,A268,$C$4:$C$503,"&lt;&gt;"&amp;C268)&gt;0,COUNTIFS($A$4:$A$503,A268,$D$4:$D$503,"&lt;&gt;"&amp;D268)&gt;0,COUNTIFS($A$4:$A$503,A268,$I$4:$I$503,"&lt;&gt;"&amp;I268)&gt;0,COUNTIFS($A$4:$A$503,A268,$J$4:$J$503,"&lt;&gt;"&amp;J268)&gt;0,COUNTIFS($A$4:$A$503,A268,$K$4:$K$503,"&lt;&gt;"&amp;K268)&gt;0,COUNTIFS($A$4:$A$503,A268,$L$4:$L$503,"&lt;&gt;"&amp;L268)&gt;0),"跨校题目配置不一致","通过")))))))</x:f>
      </x:c>
    </x:row>
    <x:row r="269" ht="22" customHeight="1">
      <x:c r="A269" s="70"/>
      <x:c r="B269" s="70"/>
      <x:c r="C269" s="28"/>
      <x:c r="D269" s="28"/>
      <x:c r="E269" s="70"/>
      <x:c r="F269" s="71" t="str">
        <x:f>IFERROR(INDEX('学校信息'!$F$4:$F$53,MATCH(E269,'学校信息'!$A$4:$A$53,0)),"")</x:f>
      </x:c>
      <x:c r="G269" s="71" t="str">
        <x:f>IFERROR(INDEX('学校信息'!$G$4:$G$53,MATCH(E269,'学校信息'!$A$4:$A$53,0)),"")</x:f>
      </x:c>
      <x:c r="H269" s="70"/>
      <x:c r="I269" s="70"/>
      <x:c r="J269" s="70"/>
      <x:c r="K269" s="28"/>
      <x:c r="L269" s="28"/>
      <x:c r="M269" s="60" t="str">
        <x:f>IF(COUNTA(A269:E269)+COUNTA(H269:L269)=0,"",IF(OR(A269="",B269="",C269="",D269="",E269="",H269="",I269="",J269="",K269="",L269=""),"缺少必填项",IF(OR(LEN(I269)&lt;&gt;64,LEN(J269)&lt;&gt;64),"SHA521长度应为64",IF(COUNTIF('学校信息'!$A$4:$A$53,E269)=0,"学校ID不存在",IF(COUNTIFS($E$4:$E$503,E269,$A$4:$A$503,A269)&gt;1,"同校全局题目ID重复",IF(COUNTIFS($E$4:$E$503,E269,$H$4:$H$503,H269)&gt;1,"同校本地PID重复",IF(OR(COUNTIFS($A$4:$A$503,A269,$B$4:$B$503,"&lt;&gt;"&amp;B269)&gt;0,COUNTIFS($A$4:$A$503,A269,$C$4:$C$503,"&lt;&gt;"&amp;C269)&gt;0,COUNTIFS($A$4:$A$503,A269,$D$4:$D$503,"&lt;&gt;"&amp;D269)&gt;0,COUNTIFS($A$4:$A$503,A269,$I$4:$I$503,"&lt;&gt;"&amp;I269)&gt;0,COUNTIFS($A$4:$A$503,A269,$J$4:$J$503,"&lt;&gt;"&amp;J269)&gt;0,COUNTIFS($A$4:$A$503,A269,$K$4:$K$503,"&lt;&gt;"&amp;K269)&gt;0,COUNTIFS($A$4:$A$503,A269,$L$4:$L$503,"&lt;&gt;"&amp;L269)&gt;0),"跨校题目配置不一致","通过")))))))</x:f>
      </x:c>
    </x:row>
    <x:row r="270" ht="22" customHeight="1">
      <x:c r="A270" s="70"/>
      <x:c r="B270" s="70"/>
      <x:c r="C270" s="28"/>
      <x:c r="D270" s="28"/>
      <x:c r="E270" s="70"/>
      <x:c r="F270" s="71" t="str">
        <x:f>IFERROR(INDEX('学校信息'!$F$4:$F$53,MATCH(E270,'学校信息'!$A$4:$A$53,0)),"")</x:f>
      </x:c>
      <x:c r="G270" s="71" t="str">
        <x:f>IFERROR(INDEX('学校信息'!$G$4:$G$53,MATCH(E270,'学校信息'!$A$4:$A$53,0)),"")</x:f>
      </x:c>
      <x:c r="H270" s="70"/>
      <x:c r="I270" s="70"/>
      <x:c r="J270" s="70"/>
      <x:c r="K270" s="28"/>
      <x:c r="L270" s="28"/>
      <x:c r="M270" s="60" t="str">
        <x:f>IF(COUNTA(A270:E270)+COUNTA(H270:L270)=0,"",IF(OR(A270="",B270="",C270="",D270="",E270="",H270="",I270="",J270="",K270="",L270=""),"缺少必填项",IF(OR(LEN(I270)&lt;&gt;64,LEN(J270)&lt;&gt;64),"SHA522长度应为64",IF(COUNTIF('学校信息'!$A$4:$A$53,E270)=0,"学校ID不存在",IF(COUNTIFS($E$4:$E$503,E270,$A$4:$A$503,A270)&gt;1,"同校全局题目ID重复",IF(COUNTIFS($E$4:$E$503,E270,$H$4:$H$503,H270)&gt;1,"同校本地PID重复",IF(OR(COUNTIFS($A$4:$A$503,A270,$B$4:$B$503,"&lt;&gt;"&amp;B270)&gt;0,COUNTIFS($A$4:$A$503,A270,$C$4:$C$503,"&lt;&gt;"&amp;C270)&gt;0,COUNTIFS($A$4:$A$503,A270,$D$4:$D$503,"&lt;&gt;"&amp;D270)&gt;0,COUNTIFS($A$4:$A$503,A270,$I$4:$I$503,"&lt;&gt;"&amp;I270)&gt;0,COUNTIFS($A$4:$A$503,A270,$J$4:$J$503,"&lt;&gt;"&amp;J270)&gt;0,COUNTIFS($A$4:$A$503,A270,$K$4:$K$503,"&lt;&gt;"&amp;K270)&gt;0,COUNTIFS($A$4:$A$503,A270,$L$4:$L$503,"&lt;&gt;"&amp;L270)&gt;0),"跨校题目配置不一致","通过")))))))</x:f>
      </x:c>
    </x:row>
    <x:row r="271" ht="22" customHeight="1">
      <x:c r="A271" s="70"/>
      <x:c r="B271" s="70"/>
      <x:c r="C271" s="28"/>
      <x:c r="D271" s="28"/>
      <x:c r="E271" s="70"/>
      <x:c r="F271" s="71" t="str">
        <x:f>IFERROR(INDEX('学校信息'!$F$4:$F$53,MATCH(E271,'学校信息'!$A$4:$A$53,0)),"")</x:f>
      </x:c>
      <x:c r="G271" s="71" t="str">
        <x:f>IFERROR(INDEX('学校信息'!$G$4:$G$53,MATCH(E271,'学校信息'!$A$4:$A$53,0)),"")</x:f>
      </x:c>
      <x:c r="H271" s="70"/>
      <x:c r="I271" s="70"/>
      <x:c r="J271" s="70"/>
      <x:c r="K271" s="28"/>
      <x:c r="L271" s="28"/>
      <x:c r="M271" s="60" t="str">
        <x:f>IF(COUNTA(A271:E271)+COUNTA(H271:L271)=0,"",IF(OR(A271="",B271="",C271="",D271="",E271="",H271="",I271="",J271="",K271="",L271=""),"缺少必填项",IF(OR(LEN(I271)&lt;&gt;64,LEN(J271)&lt;&gt;64),"SHA523长度应为64",IF(COUNTIF('学校信息'!$A$4:$A$53,E271)=0,"学校ID不存在",IF(COUNTIFS($E$4:$E$503,E271,$A$4:$A$503,A271)&gt;1,"同校全局题目ID重复",IF(COUNTIFS($E$4:$E$503,E271,$H$4:$H$503,H271)&gt;1,"同校本地PID重复",IF(OR(COUNTIFS($A$4:$A$503,A271,$B$4:$B$503,"&lt;&gt;"&amp;B271)&gt;0,COUNTIFS($A$4:$A$503,A271,$C$4:$C$503,"&lt;&gt;"&amp;C271)&gt;0,COUNTIFS($A$4:$A$503,A271,$D$4:$D$503,"&lt;&gt;"&amp;D271)&gt;0,COUNTIFS($A$4:$A$503,A271,$I$4:$I$503,"&lt;&gt;"&amp;I271)&gt;0,COUNTIFS($A$4:$A$503,A271,$J$4:$J$503,"&lt;&gt;"&amp;J271)&gt;0,COUNTIFS($A$4:$A$503,A271,$K$4:$K$503,"&lt;&gt;"&amp;K271)&gt;0,COUNTIFS($A$4:$A$503,A271,$L$4:$L$503,"&lt;&gt;"&amp;L271)&gt;0),"跨校题目配置不一致","通过")))))))</x:f>
      </x:c>
    </x:row>
    <x:row r="272" ht="22" customHeight="1">
      <x:c r="A272" s="70"/>
      <x:c r="B272" s="70"/>
      <x:c r="C272" s="28"/>
      <x:c r="D272" s="28"/>
      <x:c r="E272" s="70"/>
      <x:c r="F272" s="71" t="str">
        <x:f>IFERROR(INDEX('学校信息'!$F$4:$F$53,MATCH(E272,'学校信息'!$A$4:$A$53,0)),"")</x:f>
      </x:c>
      <x:c r="G272" s="71" t="str">
        <x:f>IFERROR(INDEX('学校信息'!$G$4:$G$53,MATCH(E272,'学校信息'!$A$4:$A$53,0)),"")</x:f>
      </x:c>
      <x:c r="H272" s="70"/>
      <x:c r="I272" s="70"/>
      <x:c r="J272" s="70"/>
      <x:c r="K272" s="28"/>
      <x:c r="L272" s="28"/>
      <x:c r="M272" s="60" t="str">
        <x:f>IF(COUNTA(A272:E272)+COUNTA(H272:L272)=0,"",IF(OR(A272="",B272="",C272="",D272="",E272="",H272="",I272="",J272="",K272="",L272=""),"缺少必填项",IF(OR(LEN(I272)&lt;&gt;64,LEN(J272)&lt;&gt;64),"SHA524长度应为64",IF(COUNTIF('学校信息'!$A$4:$A$53,E272)=0,"学校ID不存在",IF(COUNTIFS($E$4:$E$503,E272,$A$4:$A$503,A272)&gt;1,"同校全局题目ID重复",IF(COUNTIFS($E$4:$E$503,E272,$H$4:$H$503,H272)&gt;1,"同校本地PID重复",IF(OR(COUNTIFS($A$4:$A$503,A272,$B$4:$B$503,"&lt;&gt;"&amp;B272)&gt;0,COUNTIFS($A$4:$A$503,A272,$C$4:$C$503,"&lt;&gt;"&amp;C272)&gt;0,COUNTIFS($A$4:$A$503,A272,$D$4:$D$503,"&lt;&gt;"&amp;D272)&gt;0,COUNTIFS($A$4:$A$503,A272,$I$4:$I$503,"&lt;&gt;"&amp;I272)&gt;0,COUNTIFS($A$4:$A$503,A272,$J$4:$J$503,"&lt;&gt;"&amp;J272)&gt;0,COUNTIFS($A$4:$A$503,A272,$K$4:$K$503,"&lt;&gt;"&amp;K272)&gt;0,COUNTIFS($A$4:$A$503,A272,$L$4:$L$503,"&lt;&gt;"&amp;L272)&gt;0),"跨校题目配置不一致","通过")))))))</x:f>
      </x:c>
    </x:row>
    <x:row r="273" ht="22" customHeight="1">
      <x:c r="A273" s="70"/>
      <x:c r="B273" s="70"/>
      <x:c r="C273" s="28"/>
      <x:c r="D273" s="28"/>
      <x:c r="E273" s="70"/>
      <x:c r="F273" s="71" t="str">
        <x:f>IFERROR(INDEX('学校信息'!$F$4:$F$53,MATCH(E273,'学校信息'!$A$4:$A$53,0)),"")</x:f>
      </x:c>
      <x:c r="G273" s="71" t="str">
        <x:f>IFERROR(INDEX('学校信息'!$G$4:$G$53,MATCH(E273,'学校信息'!$A$4:$A$53,0)),"")</x:f>
      </x:c>
      <x:c r="H273" s="70"/>
      <x:c r="I273" s="70"/>
      <x:c r="J273" s="70"/>
      <x:c r="K273" s="28"/>
      <x:c r="L273" s="28"/>
      <x:c r="M273" s="60" t="str">
        <x:f>IF(COUNTA(A273:E273)+COUNTA(H273:L273)=0,"",IF(OR(A273="",B273="",C273="",D273="",E273="",H273="",I273="",J273="",K273="",L273=""),"缺少必填项",IF(OR(LEN(I273)&lt;&gt;64,LEN(J273)&lt;&gt;64),"SHA525长度应为64",IF(COUNTIF('学校信息'!$A$4:$A$53,E273)=0,"学校ID不存在",IF(COUNTIFS($E$4:$E$503,E273,$A$4:$A$503,A273)&gt;1,"同校全局题目ID重复",IF(COUNTIFS($E$4:$E$503,E273,$H$4:$H$503,H273)&gt;1,"同校本地PID重复",IF(OR(COUNTIFS($A$4:$A$503,A273,$B$4:$B$503,"&lt;&gt;"&amp;B273)&gt;0,COUNTIFS($A$4:$A$503,A273,$C$4:$C$503,"&lt;&gt;"&amp;C273)&gt;0,COUNTIFS($A$4:$A$503,A273,$D$4:$D$503,"&lt;&gt;"&amp;D273)&gt;0,COUNTIFS($A$4:$A$503,A273,$I$4:$I$503,"&lt;&gt;"&amp;I273)&gt;0,COUNTIFS($A$4:$A$503,A273,$J$4:$J$503,"&lt;&gt;"&amp;J273)&gt;0,COUNTIFS($A$4:$A$503,A273,$K$4:$K$503,"&lt;&gt;"&amp;K273)&gt;0,COUNTIFS($A$4:$A$503,A273,$L$4:$L$503,"&lt;&gt;"&amp;L273)&gt;0),"跨校题目配置不一致","通过")))))))</x:f>
      </x:c>
    </x:row>
    <x:row r="274" ht="22" customHeight="1">
      <x:c r="A274" s="70"/>
      <x:c r="B274" s="70"/>
      <x:c r="C274" s="28"/>
      <x:c r="D274" s="28"/>
      <x:c r="E274" s="70"/>
      <x:c r="F274" s="71" t="str">
        <x:f>IFERROR(INDEX('学校信息'!$F$4:$F$53,MATCH(E274,'学校信息'!$A$4:$A$53,0)),"")</x:f>
      </x:c>
      <x:c r="G274" s="71" t="str">
        <x:f>IFERROR(INDEX('学校信息'!$G$4:$G$53,MATCH(E274,'学校信息'!$A$4:$A$53,0)),"")</x:f>
      </x:c>
      <x:c r="H274" s="70"/>
      <x:c r="I274" s="70"/>
      <x:c r="J274" s="70"/>
      <x:c r="K274" s="28"/>
      <x:c r="L274" s="28"/>
      <x:c r="M274" s="60" t="str">
        <x:f>IF(COUNTA(A274:E274)+COUNTA(H274:L274)=0,"",IF(OR(A274="",B274="",C274="",D274="",E274="",H274="",I274="",J274="",K274="",L274=""),"缺少必填项",IF(OR(LEN(I274)&lt;&gt;64,LEN(J274)&lt;&gt;64),"SHA526长度应为64",IF(COUNTIF('学校信息'!$A$4:$A$53,E274)=0,"学校ID不存在",IF(COUNTIFS($E$4:$E$503,E274,$A$4:$A$503,A274)&gt;1,"同校全局题目ID重复",IF(COUNTIFS($E$4:$E$503,E274,$H$4:$H$503,H274)&gt;1,"同校本地PID重复",IF(OR(COUNTIFS($A$4:$A$503,A274,$B$4:$B$503,"&lt;&gt;"&amp;B274)&gt;0,COUNTIFS($A$4:$A$503,A274,$C$4:$C$503,"&lt;&gt;"&amp;C274)&gt;0,COUNTIFS($A$4:$A$503,A274,$D$4:$D$503,"&lt;&gt;"&amp;D274)&gt;0,COUNTIFS($A$4:$A$503,A274,$I$4:$I$503,"&lt;&gt;"&amp;I274)&gt;0,COUNTIFS($A$4:$A$503,A274,$J$4:$J$503,"&lt;&gt;"&amp;J274)&gt;0,COUNTIFS($A$4:$A$503,A274,$K$4:$K$503,"&lt;&gt;"&amp;K274)&gt;0,COUNTIFS($A$4:$A$503,A274,$L$4:$L$503,"&lt;&gt;"&amp;L274)&gt;0),"跨校题目配置不一致","通过")))))))</x:f>
      </x:c>
    </x:row>
    <x:row r="275" ht="22" customHeight="1">
      <x:c r="A275" s="70"/>
      <x:c r="B275" s="70"/>
      <x:c r="C275" s="28"/>
      <x:c r="D275" s="28"/>
      <x:c r="E275" s="70"/>
      <x:c r="F275" s="71" t="str">
        <x:f>IFERROR(INDEX('学校信息'!$F$4:$F$53,MATCH(E275,'学校信息'!$A$4:$A$53,0)),"")</x:f>
      </x:c>
      <x:c r="G275" s="71" t="str">
        <x:f>IFERROR(INDEX('学校信息'!$G$4:$G$53,MATCH(E275,'学校信息'!$A$4:$A$53,0)),"")</x:f>
      </x:c>
      <x:c r="H275" s="70"/>
      <x:c r="I275" s="70"/>
      <x:c r="J275" s="70"/>
      <x:c r="K275" s="28"/>
      <x:c r="L275" s="28"/>
      <x:c r="M275" s="60" t="str">
        <x:f>IF(COUNTA(A275:E275)+COUNTA(H275:L275)=0,"",IF(OR(A275="",B275="",C275="",D275="",E275="",H275="",I275="",J275="",K275="",L275=""),"缺少必填项",IF(OR(LEN(I275)&lt;&gt;64,LEN(J275)&lt;&gt;64),"SHA527长度应为64",IF(COUNTIF('学校信息'!$A$4:$A$53,E275)=0,"学校ID不存在",IF(COUNTIFS($E$4:$E$503,E275,$A$4:$A$503,A275)&gt;1,"同校全局题目ID重复",IF(COUNTIFS($E$4:$E$503,E275,$H$4:$H$503,H275)&gt;1,"同校本地PID重复",IF(OR(COUNTIFS($A$4:$A$503,A275,$B$4:$B$503,"&lt;&gt;"&amp;B275)&gt;0,COUNTIFS($A$4:$A$503,A275,$C$4:$C$503,"&lt;&gt;"&amp;C275)&gt;0,COUNTIFS($A$4:$A$503,A275,$D$4:$D$503,"&lt;&gt;"&amp;D275)&gt;0,COUNTIFS($A$4:$A$503,A275,$I$4:$I$503,"&lt;&gt;"&amp;I275)&gt;0,COUNTIFS($A$4:$A$503,A275,$J$4:$J$503,"&lt;&gt;"&amp;J275)&gt;0,COUNTIFS($A$4:$A$503,A275,$K$4:$K$503,"&lt;&gt;"&amp;K275)&gt;0,COUNTIFS($A$4:$A$503,A275,$L$4:$L$503,"&lt;&gt;"&amp;L275)&gt;0),"跨校题目配置不一致","通过")))))))</x:f>
      </x:c>
    </x:row>
    <x:row r="276" ht="22" customHeight="1">
      <x:c r="A276" s="70"/>
      <x:c r="B276" s="70"/>
      <x:c r="C276" s="28"/>
      <x:c r="D276" s="28"/>
      <x:c r="E276" s="70"/>
      <x:c r="F276" s="71" t="str">
        <x:f>IFERROR(INDEX('学校信息'!$F$4:$F$53,MATCH(E276,'学校信息'!$A$4:$A$53,0)),"")</x:f>
      </x:c>
      <x:c r="G276" s="71" t="str">
        <x:f>IFERROR(INDEX('学校信息'!$G$4:$G$53,MATCH(E276,'学校信息'!$A$4:$A$53,0)),"")</x:f>
      </x:c>
      <x:c r="H276" s="70"/>
      <x:c r="I276" s="70"/>
      <x:c r="J276" s="70"/>
      <x:c r="K276" s="28"/>
      <x:c r="L276" s="28"/>
      <x:c r="M276" s="60" t="str">
        <x:f>IF(COUNTA(A276:E276)+COUNTA(H276:L276)=0,"",IF(OR(A276="",B276="",C276="",D276="",E276="",H276="",I276="",J276="",K276="",L276=""),"缺少必填项",IF(OR(LEN(I276)&lt;&gt;64,LEN(J276)&lt;&gt;64),"SHA528长度应为64",IF(COUNTIF('学校信息'!$A$4:$A$53,E276)=0,"学校ID不存在",IF(COUNTIFS($E$4:$E$503,E276,$A$4:$A$503,A276)&gt;1,"同校全局题目ID重复",IF(COUNTIFS($E$4:$E$503,E276,$H$4:$H$503,H276)&gt;1,"同校本地PID重复",IF(OR(COUNTIFS($A$4:$A$503,A276,$B$4:$B$503,"&lt;&gt;"&amp;B276)&gt;0,COUNTIFS($A$4:$A$503,A276,$C$4:$C$503,"&lt;&gt;"&amp;C276)&gt;0,COUNTIFS($A$4:$A$503,A276,$D$4:$D$503,"&lt;&gt;"&amp;D276)&gt;0,COUNTIFS($A$4:$A$503,A276,$I$4:$I$503,"&lt;&gt;"&amp;I276)&gt;0,COUNTIFS($A$4:$A$503,A276,$J$4:$J$503,"&lt;&gt;"&amp;J276)&gt;0,COUNTIFS($A$4:$A$503,A276,$K$4:$K$503,"&lt;&gt;"&amp;K276)&gt;0,COUNTIFS($A$4:$A$503,A276,$L$4:$L$503,"&lt;&gt;"&amp;L276)&gt;0),"跨校题目配置不一致","通过")))))))</x:f>
      </x:c>
    </x:row>
    <x:row r="277" ht="22" customHeight="1">
      <x:c r="A277" s="70"/>
      <x:c r="B277" s="70"/>
      <x:c r="C277" s="28"/>
      <x:c r="D277" s="28"/>
      <x:c r="E277" s="70"/>
      <x:c r="F277" s="71" t="str">
        <x:f>IFERROR(INDEX('学校信息'!$F$4:$F$53,MATCH(E277,'学校信息'!$A$4:$A$53,0)),"")</x:f>
      </x:c>
      <x:c r="G277" s="71" t="str">
        <x:f>IFERROR(INDEX('学校信息'!$G$4:$G$53,MATCH(E277,'学校信息'!$A$4:$A$53,0)),"")</x:f>
      </x:c>
      <x:c r="H277" s="70"/>
      <x:c r="I277" s="70"/>
      <x:c r="J277" s="70"/>
      <x:c r="K277" s="28"/>
      <x:c r="L277" s="28"/>
      <x:c r="M277" s="60" t="str">
        <x:f>IF(COUNTA(A277:E277)+COUNTA(H277:L277)=0,"",IF(OR(A277="",B277="",C277="",D277="",E277="",H277="",I277="",J277="",K277="",L277=""),"缺少必填项",IF(OR(LEN(I277)&lt;&gt;64,LEN(J277)&lt;&gt;64),"SHA529长度应为64",IF(COUNTIF('学校信息'!$A$4:$A$53,E277)=0,"学校ID不存在",IF(COUNTIFS($E$4:$E$503,E277,$A$4:$A$503,A277)&gt;1,"同校全局题目ID重复",IF(COUNTIFS($E$4:$E$503,E277,$H$4:$H$503,H277)&gt;1,"同校本地PID重复",IF(OR(COUNTIFS($A$4:$A$503,A277,$B$4:$B$503,"&lt;&gt;"&amp;B277)&gt;0,COUNTIFS($A$4:$A$503,A277,$C$4:$C$503,"&lt;&gt;"&amp;C277)&gt;0,COUNTIFS($A$4:$A$503,A277,$D$4:$D$503,"&lt;&gt;"&amp;D277)&gt;0,COUNTIFS($A$4:$A$503,A277,$I$4:$I$503,"&lt;&gt;"&amp;I277)&gt;0,COUNTIFS($A$4:$A$503,A277,$J$4:$J$503,"&lt;&gt;"&amp;J277)&gt;0,COUNTIFS($A$4:$A$503,A277,$K$4:$K$503,"&lt;&gt;"&amp;K277)&gt;0,COUNTIFS($A$4:$A$503,A277,$L$4:$L$503,"&lt;&gt;"&amp;L277)&gt;0),"跨校题目配置不一致","通过")))))))</x:f>
      </x:c>
    </x:row>
    <x:row r="278" ht="22" customHeight="1">
      <x:c r="A278" s="70"/>
      <x:c r="B278" s="70"/>
      <x:c r="C278" s="28"/>
      <x:c r="D278" s="28"/>
      <x:c r="E278" s="70"/>
      <x:c r="F278" s="71" t="str">
        <x:f>IFERROR(INDEX('学校信息'!$F$4:$F$53,MATCH(E278,'学校信息'!$A$4:$A$53,0)),"")</x:f>
      </x:c>
      <x:c r="G278" s="71" t="str">
        <x:f>IFERROR(INDEX('学校信息'!$G$4:$G$53,MATCH(E278,'学校信息'!$A$4:$A$53,0)),"")</x:f>
      </x:c>
      <x:c r="H278" s="70"/>
      <x:c r="I278" s="70"/>
      <x:c r="J278" s="70"/>
      <x:c r="K278" s="28"/>
      <x:c r="L278" s="28"/>
      <x:c r="M278" s="60" t="str">
        <x:f>IF(COUNTA(A278:E278)+COUNTA(H278:L278)=0,"",IF(OR(A278="",B278="",C278="",D278="",E278="",H278="",I278="",J278="",K278="",L278=""),"缺少必填项",IF(OR(LEN(I278)&lt;&gt;64,LEN(J278)&lt;&gt;64),"SHA530长度应为64",IF(COUNTIF('学校信息'!$A$4:$A$53,E278)=0,"学校ID不存在",IF(COUNTIFS($E$4:$E$503,E278,$A$4:$A$503,A278)&gt;1,"同校全局题目ID重复",IF(COUNTIFS($E$4:$E$503,E278,$H$4:$H$503,H278)&gt;1,"同校本地PID重复",IF(OR(COUNTIFS($A$4:$A$503,A278,$B$4:$B$503,"&lt;&gt;"&amp;B278)&gt;0,COUNTIFS($A$4:$A$503,A278,$C$4:$C$503,"&lt;&gt;"&amp;C278)&gt;0,COUNTIFS($A$4:$A$503,A278,$D$4:$D$503,"&lt;&gt;"&amp;D278)&gt;0,COUNTIFS($A$4:$A$503,A278,$I$4:$I$503,"&lt;&gt;"&amp;I278)&gt;0,COUNTIFS($A$4:$A$503,A278,$J$4:$J$503,"&lt;&gt;"&amp;J278)&gt;0,COUNTIFS($A$4:$A$503,A278,$K$4:$K$503,"&lt;&gt;"&amp;K278)&gt;0,COUNTIFS($A$4:$A$503,A278,$L$4:$L$503,"&lt;&gt;"&amp;L278)&gt;0),"跨校题目配置不一致","通过")))))))</x:f>
      </x:c>
    </x:row>
    <x:row r="279" ht="22" customHeight="1">
      <x:c r="A279" s="70"/>
      <x:c r="B279" s="70"/>
      <x:c r="C279" s="28"/>
      <x:c r="D279" s="28"/>
      <x:c r="E279" s="70"/>
      <x:c r="F279" s="71" t="str">
        <x:f>IFERROR(INDEX('学校信息'!$F$4:$F$53,MATCH(E279,'学校信息'!$A$4:$A$53,0)),"")</x:f>
      </x:c>
      <x:c r="G279" s="71" t="str">
        <x:f>IFERROR(INDEX('学校信息'!$G$4:$G$53,MATCH(E279,'学校信息'!$A$4:$A$53,0)),"")</x:f>
      </x:c>
      <x:c r="H279" s="70"/>
      <x:c r="I279" s="70"/>
      <x:c r="J279" s="70"/>
      <x:c r="K279" s="28"/>
      <x:c r="L279" s="28"/>
      <x:c r="M279" s="60" t="str">
        <x:f>IF(COUNTA(A279:E279)+COUNTA(H279:L279)=0,"",IF(OR(A279="",B279="",C279="",D279="",E279="",H279="",I279="",J279="",K279="",L279=""),"缺少必填项",IF(OR(LEN(I279)&lt;&gt;64,LEN(J279)&lt;&gt;64),"SHA531长度应为64",IF(COUNTIF('学校信息'!$A$4:$A$53,E279)=0,"学校ID不存在",IF(COUNTIFS($E$4:$E$503,E279,$A$4:$A$503,A279)&gt;1,"同校全局题目ID重复",IF(COUNTIFS($E$4:$E$503,E279,$H$4:$H$503,H279)&gt;1,"同校本地PID重复",IF(OR(COUNTIFS($A$4:$A$503,A279,$B$4:$B$503,"&lt;&gt;"&amp;B279)&gt;0,COUNTIFS($A$4:$A$503,A279,$C$4:$C$503,"&lt;&gt;"&amp;C279)&gt;0,COUNTIFS($A$4:$A$503,A279,$D$4:$D$503,"&lt;&gt;"&amp;D279)&gt;0,COUNTIFS($A$4:$A$503,A279,$I$4:$I$503,"&lt;&gt;"&amp;I279)&gt;0,COUNTIFS($A$4:$A$503,A279,$J$4:$J$503,"&lt;&gt;"&amp;J279)&gt;0,COUNTIFS($A$4:$A$503,A279,$K$4:$K$503,"&lt;&gt;"&amp;K279)&gt;0,COUNTIFS($A$4:$A$503,A279,$L$4:$L$503,"&lt;&gt;"&amp;L279)&gt;0),"跨校题目配置不一致","通过")))))))</x:f>
      </x:c>
    </x:row>
    <x:row r="280" ht="22" customHeight="1">
      <x:c r="A280" s="70"/>
      <x:c r="B280" s="70"/>
      <x:c r="C280" s="28"/>
      <x:c r="D280" s="28"/>
      <x:c r="E280" s="70"/>
      <x:c r="F280" s="71" t="str">
        <x:f>IFERROR(INDEX('学校信息'!$F$4:$F$53,MATCH(E280,'学校信息'!$A$4:$A$53,0)),"")</x:f>
      </x:c>
      <x:c r="G280" s="71" t="str">
        <x:f>IFERROR(INDEX('学校信息'!$G$4:$G$53,MATCH(E280,'学校信息'!$A$4:$A$53,0)),"")</x:f>
      </x:c>
      <x:c r="H280" s="70"/>
      <x:c r="I280" s="70"/>
      <x:c r="J280" s="70"/>
      <x:c r="K280" s="28"/>
      <x:c r="L280" s="28"/>
      <x:c r="M280" s="60" t="str">
        <x:f>IF(COUNTA(A280:E280)+COUNTA(H280:L280)=0,"",IF(OR(A280="",B280="",C280="",D280="",E280="",H280="",I280="",J280="",K280="",L280=""),"缺少必填项",IF(OR(LEN(I280)&lt;&gt;64,LEN(J280)&lt;&gt;64),"SHA532长度应为64",IF(COUNTIF('学校信息'!$A$4:$A$53,E280)=0,"学校ID不存在",IF(COUNTIFS($E$4:$E$503,E280,$A$4:$A$503,A280)&gt;1,"同校全局题目ID重复",IF(COUNTIFS($E$4:$E$503,E280,$H$4:$H$503,H280)&gt;1,"同校本地PID重复",IF(OR(COUNTIFS($A$4:$A$503,A280,$B$4:$B$503,"&lt;&gt;"&amp;B280)&gt;0,COUNTIFS($A$4:$A$503,A280,$C$4:$C$503,"&lt;&gt;"&amp;C280)&gt;0,COUNTIFS($A$4:$A$503,A280,$D$4:$D$503,"&lt;&gt;"&amp;D280)&gt;0,COUNTIFS($A$4:$A$503,A280,$I$4:$I$503,"&lt;&gt;"&amp;I280)&gt;0,COUNTIFS($A$4:$A$503,A280,$J$4:$J$503,"&lt;&gt;"&amp;J280)&gt;0,COUNTIFS($A$4:$A$503,A280,$K$4:$K$503,"&lt;&gt;"&amp;K280)&gt;0,COUNTIFS($A$4:$A$503,A280,$L$4:$L$503,"&lt;&gt;"&amp;L280)&gt;0),"跨校题目配置不一致","通过")))))))</x:f>
      </x:c>
    </x:row>
    <x:row r="281" ht="22" customHeight="1">
      <x:c r="A281" s="70"/>
      <x:c r="B281" s="70"/>
      <x:c r="C281" s="28"/>
      <x:c r="D281" s="28"/>
      <x:c r="E281" s="70"/>
      <x:c r="F281" s="71" t="str">
        <x:f>IFERROR(INDEX('学校信息'!$F$4:$F$53,MATCH(E281,'学校信息'!$A$4:$A$53,0)),"")</x:f>
      </x:c>
      <x:c r="G281" s="71" t="str">
        <x:f>IFERROR(INDEX('学校信息'!$G$4:$G$53,MATCH(E281,'学校信息'!$A$4:$A$53,0)),"")</x:f>
      </x:c>
      <x:c r="H281" s="70"/>
      <x:c r="I281" s="70"/>
      <x:c r="J281" s="70"/>
      <x:c r="K281" s="28"/>
      <x:c r="L281" s="28"/>
      <x:c r="M281" s="60" t="str">
        <x:f>IF(COUNTA(A281:E281)+COUNTA(H281:L281)=0,"",IF(OR(A281="",B281="",C281="",D281="",E281="",H281="",I281="",J281="",K281="",L281=""),"缺少必填项",IF(OR(LEN(I281)&lt;&gt;64,LEN(J281)&lt;&gt;64),"SHA533长度应为64",IF(COUNTIF('学校信息'!$A$4:$A$53,E281)=0,"学校ID不存在",IF(COUNTIFS($E$4:$E$503,E281,$A$4:$A$503,A281)&gt;1,"同校全局题目ID重复",IF(COUNTIFS($E$4:$E$503,E281,$H$4:$H$503,H281)&gt;1,"同校本地PID重复",IF(OR(COUNTIFS($A$4:$A$503,A281,$B$4:$B$503,"&lt;&gt;"&amp;B281)&gt;0,COUNTIFS($A$4:$A$503,A281,$C$4:$C$503,"&lt;&gt;"&amp;C281)&gt;0,COUNTIFS($A$4:$A$503,A281,$D$4:$D$503,"&lt;&gt;"&amp;D281)&gt;0,COUNTIFS($A$4:$A$503,A281,$I$4:$I$503,"&lt;&gt;"&amp;I281)&gt;0,COUNTIFS($A$4:$A$503,A281,$J$4:$J$503,"&lt;&gt;"&amp;J281)&gt;0,COUNTIFS($A$4:$A$503,A281,$K$4:$K$503,"&lt;&gt;"&amp;K281)&gt;0,COUNTIFS($A$4:$A$503,A281,$L$4:$L$503,"&lt;&gt;"&amp;L281)&gt;0),"跨校题目配置不一致","通过")))))))</x:f>
      </x:c>
    </x:row>
    <x:row r="282" ht="22" customHeight="1">
      <x:c r="A282" s="70"/>
      <x:c r="B282" s="70"/>
      <x:c r="C282" s="28"/>
      <x:c r="D282" s="28"/>
      <x:c r="E282" s="70"/>
      <x:c r="F282" s="71" t="str">
        <x:f>IFERROR(INDEX('学校信息'!$F$4:$F$53,MATCH(E282,'学校信息'!$A$4:$A$53,0)),"")</x:f>
      </x:c>
      <x:c r="G282" s="71" t="str">
        <x:f>IFERROR(INDEX('学校信息'!$G$4:$G$53,MATCH(E282,'学校信息'!$A$4:$A$53,0)),"")</x:f>
      </x:c>
      <x:c r="H282" s="70"/>
      <x:c r="I282" s="70"/>
      <x:c r="J282" s="70"/>
      <x:c r="K282" s="28"/>
      <x:c r="L282" s="28"/>
      <x:c r="M282" s="60" t="str">
        <x:f>IF(COUNTA(A282:E282)+COUNTA(H282:L282)=0,"",IF(OR(A282="",B282="",C282="",D282="",E282="",H282="",I282="",J282="",K282="",L282=""),"缺少必填项",IF(OR(LEN(I282)&lt;&gt;64,LEN(J282)&lt;&gt;64),"SHA534长度应为64",IF(COUNTIF('学校信息'!$A$4:$A$53,E282)=0,"学校ID不存在",IF(COUNTIFS($E$4:$E$503,E282,$A$4:$A$503,A282)&gt;1,"同校全局题目ID重复",IF(COUNTIFS($E$4:$E$503,E282,$H$4:$H$503,H282)&gt;1,"同校本地PID重复",IF(OR(COUNTIFS($A$4:$A$503,A282,$B$4:$B$503,"&lt;&gt;"&amp;B282)&gt;0,COUNTIFS($A$4:$A$503,A282,$C$4:$C$503,"&lt;&gt;"&amp;C282)&gt;0,COUNTIFS($A$4:$A$503,A282,$D$4:$D$503,"&lt;&gt;"&amp;D282)&gt;0,COUNTIFS($A$4:$A$503,A282,$I$4:$I$503,"&lt;&gt;"&amp;I282)&gt;0,COUNTIFS($A$4:$A$503,A282,$J$4:$J$503,"&lt;&gt;"&amp;J282)&gt;0,COUNTIFS($A$4:$A$503,A282,$K$4:$K$503,"&lt;&gt;"&amp;K282)&gt;0,COUNTIFS($A$4:$A$503,A282,$L$4:$L$503,"&lt;&gt;"&amp;L282)&gt;0),"跨校题目配置不一致","通过")))))))</x:f>
      </x:c>
    </x:row>
    <x:row r="283" ht="22" customHeight="1">
      <x:c r="A283" s="70"/>
      <x:c r="B283" s="70"/>
      <x:c r="C283" s="28"/>
      <x:c r="D283" s="28"/>
      <x:c r="E283" s="70"/>
      <x:c r="F283" s="71" t="str">
        <x:f>IFERROR(INDEX('学校信息'!$F$4:$F$53,MATCH(E283,'学校信息'!$A$4:$A$53,0)),"")</x:f>
      </x:c>
      <x:c r="G283" s="71" t="str">
        <x:f>IFERROR(INDEX('学校信息'!$G$4:$G$53,MATCH(E283,'学校信息'!$A$4:$A$53,0)),"")</x:f>
      </x:c>
      <x:c r="H283" s="70"/>
      <x:c r="I283" s="70"/>
      <x:c r="J283" s="70"/>
      <x:c r="K283" s="28"/>
      <x:c r="L283" s="28"/>
      <x:c r="M283" s="60" t="str">
        <x:f>IF(COUNTA(A283:E283)+COUNTA(H283:L283)=0,"",IF(OR(A283="",B283="",C283="",D283="",E283="",H283="",I283="",J283="",K283="",L283=""),"缺少必填项",IF(OR(LEN(I283)&lt;&gt;64,LEN(J283)&lt;&gt;64),"SHA535长度应为64",IF(COUNTIF('学校信息'!$A$4:$A$53,E283)=0,"学校ID不存在",IF(COUNTIFS($E$4:$E$503,E283,$A$4:$A$503,A283)&gt;1,"同校全局题目ID重复",IF(COUNTIFS($E$4:$E$503,E283,$H$4:$H$503,H283)&gt;1,"同校本地PID重复",IF(OR(COUNTIFS($A$4:$A$503,A283,$B$4:$B$503,"&lt;&gt;"&amp;B283)&gt;0,COUNTIFS($A$4:$A$503,A283,$C$4:$C$503,"&lt;&gt;"&amp;C283)&gt;0,COUNTIFS($A$4:$A$503,A283,$D$4:$D$503,"&lt;&gt;"&amp;D283)&gt;0,COUNTIFS($A$4:$A$503,A283,$I$4:$I$503,"&lt;&gt;"&amp;I283)&gt;0,COUNTIFS($A$4:$A$503,A283,$J$4:$J$503,"&lt;&gt;"&amp;J283)&gt;0,COUNTIFS($A$4:$A$503,A283,$K$4:$K$503,"&lt;&gt;"&amp;K283)&gt;0,COUNTIFS($A$4:$A$503,A283,$L$4:$L$503,"&lt;&gt;"&amp;L283)&gt;0),"跨校题目配置不一致","通过")))))))</x:f>
      </x:c>
    </x:row>
    <x:row r="284" ht="22" customHeight="1">
      <x:c r="A284" s="70"/>
      <x:c r="B284" s="70"/>
      <x:c r="C284" s="28"/>
      <x:c r="D284" s="28"/>
      <x:c r="E284" s="70"/>
      <x:c r="F284" s="71" t="str">
        <x:f>IFERROR(INDEX('学校信息'!$F$4:$F$53,MATCH(E284,'学校信息'!$A$4:$A$53,0)),"")</x:f>
      </x:c>
      <x:c r="G284" s="71" t="str">
        <x:f>IFERROR(INDEX('学校信息'!$G$4:$G$53,MATCH(E284,'学校信息'!$A$4:$A$53,0)),"")</x:f>
      </x:c>
      <x:c r="H284" s="70"/>
      <x:c r="I284" s="70"/>
      <x:c r="J284" s="70"/>
      <x:c r="K284" s="28"/>
      <x:c r="L284" s="28"/>
      <x:c r="M284" s="60" t="str">
        <x:f>IF(COUNTA(A284:E284)+COUNTA(H284:L284)=0,"",IF(OR(A284="",B284="",C284="",D284="",E284="",H284="",I284="",J284="",K284="",L284=""),"缺少必填项",IF(OR(LEN(I284)&lt;&gt;64,LEN(J284)&lt;&gt;64),"SHA536长度应为64",IF(COUNTIF('学校信息'!$A$4:$A$53,E284)=0,"学校ID不存在",IF(COUNTIFS($E$4:$E$503,E284,$A$4:$A$503,A284)&gt;1,"同校全局题目ID重复",IF(COUNTIFS($E$4:$E$503,E284,$H$4:$H$503,H284)&gt;1,"同校本地PID重复",IF(OR(COUNTIFS($A$4:$A$503,A284,$B$4:$B$503,"&lt;&gt;"&amp;B284)&gt;0,COUNTIFS($A$4:$A$503,A284,$C$4:$C$503,"&lt;&gt;"&amp;C284)&gt;0,COUNTIFS($A$4:$A$503,A284,$D$4:$D$503,"&lt;&gt;"&amp;D284)&gt;0,COUNTIFS($A$4:$A$503,A284,$I$4:$I$503,"&lt;&gt;"&amp;I284)&gt;0,COUNTIFS($A$4:$A$503,A284,$J$4:$J$503,"&lt;&gt;"&amp;J284)&gt;0,COUNTIFS($A$4:$A$503,A284,$K$4:$K$503,"&lt;&gt;"&amp;K284)&gt;0,COUNTIFS($A$4:$A$503,A284,$L$4:$L$503,"&lt;&gt;"&amp;L284)&gt;0),"跨校题目配置不一致","通过")))))))</x:f>
      </x:c>
    </x:row>
    <x:row r="285" ht="22" customHeight="1">
      <x:c r="A285" s="70"/>
      <x:c r="B285" s="70"/>
      <x:c r="C285" s="28"/>
      <x:c r="D285" s="28"/>
      <x:c r="E285" s="70"/>
      <x:c r="F285" s="71" t="str">
        <x:f>IFERROR(INDEX('学校信息'!$F$4:$F$53,MATCH(E285,'学校信息'!$A$4:$A$53,0)),"")</x:f>
      </x:c>
      <x:c r="G285" s="71" t="str">
        <x:f>IFERROR(INDEX('学校信息'!$G$4:$G$53,MATCH(E285,'学校信息'!$A$4:$A$53,0)),"")</x:f>
      </x:c>
      <x:c r="H285" s="70"/>
      <x:c r="I285" s="70"/>
      <x:c r="J285" s="70"/>
      <x:c r="K285" s="28"/>
      <x:c r="L285" s="28"/>
      <x:c r="M285" s="60" t="str">
        <x:f>IF(COUNTA(A285:E285)+COUNTA(H285:L285)=0,"",IF(OR(A285="",B285="",C285="",D285="",E285="",H285="",I285="",J285="",K285="",L285=""),"缺少必填项",IF(OR(LEN(I285)&lt;&gt;64,LEN(J285)&lt;&gt;64),"SHA537长度应为64",IF(COUNTIF('学校信息'!$A$4:$A$53,E285)=0,"学校ID不存在",IF(COUNTIFS($E$4:$E$503,E285,$A$4:$A$503,A285)&gt;1,"同校全局题目ID重复",IF(COUNTIFS($E$4:$E$503,E285,$H$4:$H$503,H285)&gt;1,"同校本地PID重复",IF(OR(COUNTIFS($A$4:$A$503,A285,$B$4:$B$503,"&lt;&gt;"&amp;B285)&gt;0,COUNTIFS($A$4:$A$503,A285,$C$4:$C$503,"&lt;&gt;"&amp;C285)&gt;0,COUNTIFS($A$4:$A$503,A285,$D$4:$D$503,"&lt;&gt;"&amp;D285)&gt;0,COUNTIFS($A$4:$A$503,A285,$I$4:$I$503,"&lt;&gt;"&amp;I285)&gt;0,COUNTIFS($A$4:$A$503,A285,$J$4:$J$503,"&lt;&gt;"&amp;J285)&gt;0,COUNTIFS($A$4:$A$503,A285,$K$4:$K$503,"&lt;&gt;"&amp;K285)&gt;0,COUNTIFS($A$4:$A$503,A285,$L$4:$L$503,"&lt;&gt;"&amp;L285)&gt;0),"跨校题目配置不一致","通过")))))))</x:f>
      </x:c>
    </x:row>
    <x:row r="286" ht="22" customHeight="1">
      <x:c r="A286" s="70"/>
      <x:c r="B286" s="70"/>
      <x:c r="C286" s="28"/>
      <x:c r="D286" s="28"/>
      <x:c r="E286" s="70"/>
      <x:c r="F286" s="71" t="str">
        <x:f>IFERROR(INDEX('学校信息'!$F$4:$F$53,MATCH(E286,'学校信息'!$A$4:$A$53,0)),"")</x:f>
      </x:c>
      <x:c r="G286" s="71" t="str">
        <x:f>IFERROR(INDEX('学校信息'!$G$4:$G$53,MATCH(E286,'学校信息'!$A$4:$A$53,0)),"")</x:f>
      </x:c>
      <x:c r="H286" s="70"/>
      <x:c r="I286" s="70"/>
      <x:c r="J286" s="70"/>
      <x:c r="K286" s="28"/>
      <x:c r="L286" s="28"/>
      <x:c r="M286" s="60" t="str">
        <x:f>IF(COUNTA(A286:E286)+COUNTA(H286:L286)=0,"",IF(OR(A286="",B286="",C286="",D286="",E286="",H286="",I286="",J286="",K286="",L286=""),"缺少必填项",IF(OR(LEN(I286)&lt;&gt;64,LEN(J286)&lt;&gt;64),"SHA538长度应为64",IF(COUNTIF('学校信息'!$A$4:$A$53,E286)=0,"学校ID不存在",IF(COUNTIFS($E$4:$E$503,E286,$A$4:$A$503,A286)&gt;1,"同校全局题目ID重复",IF(COUNTIFS($E$4:$E$503,E286,$H$4:$H$503,H286)&gt;1,"同校本地PID重复",IF(OR(COUNTIFS($A$4:$A$503,A286,$B$4:$B$503,"&lt;&gt;"&amp;B286)&gt;0,COUNTIFS($A$4:$A$503,A286,$C$4:$C$503,"&lt;&gt;"&amp;C286)&gt;0,COUNTIFS($A$4:$A$503,A286,$D$4:$D$503,"&lt;&gt;"&amp;D286)&gt;0,COUNTIFS($A$4:$A$503,A286,$I$4:$I$503,"&lt;&gt;"&amp;I286)&gt;0,COUNTIFS($A$4:$A$503,A286,$J$4:$J$503,"&lt;&gt;"&amp;J286)&gt;0,COUNTIFS($A$4:$A$503,A286,$K$4:$K$503,"&lt;&gt;"&amp;K286)&gt;0,COUNTIFS($A$4:$A$503,A286,$L$4:$L$503,"&lt;&gt;"&amp;L286)&gt;0),"跨校题目配置不一致","通过")))))))</x:f>
      </x:c>
    </x:row>
    <x:row r="287" ht="22" customHeight="1">
      <x:c r="A287" s="70"/>
      <x:c r="B287" s="70"/>
      <x:c r="C287" s="28"/>
      <x:c r="D287" s="28"/>
      <x:c r="E287" s="70"/>
      <x:c r="F287" s="71" t="str">
        <x:f>IFERROR(INDEX('学校信息'!$F$4:$F$53,MATCH(E287,'学校信息'!$A$4:$A$53,0)),"")</x:f>
      </x:c>
      <x:c r="G287" s="71" t="str">
        <x:f>IFERROR(INDEX('学校信息'!$G$4:$G$53,MATCH(E287,'学校信息'!$A$4:$A$53,0)),"")</x:f>
      </x:c>
      <x:c r="H287" s="70"/>
      <x:c r="I287" s="70"/>
      <x:c r="J287" s="70"/>
      <x:c r="K287" s="28"/>
      <x:c r="L287" s="28"/>
      <x:c r="M287" s="60" t="str">
        <x:f>IF(COUNTA(A287:E287)+COUNTA(H287:L287)=0,"",IF(OR(A287="",B287="",C287="",D287="",E287="",H287="",I287="",J287="",K287="",L287=""),"缺少必填项",IF(OR(LEN(I287)&lt;&gt;64,LEN(J287)&lt;&gt;64),"SHA539长度应为64",IF(COUNTIF('学校信息'!$A$4:$A$53,E287)=0,"学校ID不存在",IF(COUNTIFS($E$4:$E$503,E287,$A$4:$A$503,A287)&gt;1,"同校全局题目ID重复",IF(COUNTIFS($E$4:$E$503,E287,$H$4:$H$503,H287)&gt;1,"同校本地PID重复",IF(OR(COUNTIFS($A$4:$A$503,A287,$B$4:$B$503,"&lt;&gt;"&amp;B287)&gt;0,COUNTIFS($A$4:$A$503,A287,$C$4:$C$503,"&lt;&gt;"&amp;C287)&gt;0,COUNTIFS($A$4:$A$503,A287,$D$4:$D$503,"&lt;&gt;"&amp;D287)&gt;0,COUNTIFS($A$4:$A$503,A287,$I$4:$I$503,"&lt;&gt;"&amp;I287)&gt;0,COUNTIFS($A$4:$A$503,A287,$J$4:$J$503,"&lt;&gt;"&amp;J287)&gt;0,COUNTIFS($A$4:$A$503,A287,$K$4:$K$503,"&lt;&gt;"&amp;K287)&gt;0,COUNTIFS($A$4:$A$503,A287,$L$4:$L$503,"&lt;&gt;"&amp;L287)&gt;0),"跨校题目配置不一致","通过")))))))</x:f>
      </x:c>
    </x:row>
    <x:row r="288" ht="22" customHeight="1">
      <x:c r="A288" s="70"/>
      <x:c r="B288" s="70"/>
      <x:c r="C288" s="28"/>
      <x:c r="D288" s="28"/>
      <x:c r="E288" s="70"/>
      <x:c r="F288" s="71" t="str">
        <x:f>IFERROR(INDEX('学校信息'!$F$4:$F$53,MATCH(E288,'学校信息'!$A$4:$A$53,0)),"")</x:f>
      </x:c>
      <x:c r="G288" s="71" t="str">
        <x:f>IFERROR(INDEX('学校信息'!$G$4:$G$53,MATCH(E288,'学校信息'!$A$4:$A$53,0)),"")</x:f>
      </x:c>
      <x:c r="H288" s="70"/>
      <x:c r="I288" s="70"/>
      <x:c r="J288" s="70"/>
      <x:c r="K288" s="28"/>
      <x:c r="L288" s="28"/>
      <x:c r="M288" s="60" t="str">
        <x:f>IF(COUNTA(A288:E288)+COUNTA(H288:L288)=0,"",IF(OR(A288="",B288="",C288="",D288="",E288="",H288="",I288="",J288="",K288="",L288=""),"缺少必填项",IF(OR(LEN(I288)&lt;&gt;64,LEN(J288)&lt;&gt;64),"SHA540长度应为64",IF(COUNTIF('学校信息'!$A$4:$A$53,E288)=0,"学校ID不存在",IF(COUNTIFS($E$4:$E$503,E288,$A$4:$A$503,A288)&gt;1,"同校全局题目ID重复",IF(COUNTIFS($E$4:$E$503,E288,$H$4:$H$503,H288)&gt;1,"同校本地PID重复",IF(OR(COUNTIFS($A$4:$A$503,A288,$B$4:$B$503,"&lt;&gt;"&amp;B288)&gt;0,COUNTIFS($A$4:$A$503,A288,$C$4:$C$503,"&lt;&gt;"&amp;C288)&gt;0,COUNTIFS($A$4:$A$503,A288,$D$4:$D$503,"&lt;&gt;"&amp;D288)&gt;0,COUNTIFS($A$4:$A$503,A288,$I$4:$I$503,"&lt;&gt;"&amp;I288)&gt;0,COUNTIFS($A$4:$A$503,A288,$J$4:$J$503,"&lt;&gt;"&amp;J288)&gt;0,COUNTIFS($A$4:$A$503,A288,$K$4:$K$503,"&lt;&gt;"&amp;K288)&gt;0,COUNTIFS($A$4:$A$503,A288,$L$4:$L$503,"&lt;&gt;"&amp;L288)&gt;0),"跨校题目配置不一致","通过")))))))</x:f>
      </x:c>
    </x:row>
    <x:row r="289" ht="22" customHeight="1">
      <x:c r="A289" s="70"/>
      <x:c r="B289" s="70"/>
      <x:c r="C289" s="28"/>
      <x:c r="D289" s="28"/>
      <x:c r="E289" s="70"/>
      <x:c r="F289" s="71" t="str">
        <x:f>IFERROR(INDEX('学校信息'!$F$4:$F$53,MATCH(E289,'学校信息'!$A$4:$A$53,0)),"")</x:f>
      </x:c>
      <x:c r="G289" s="71" t="str">
        <x:f>IFERROR(INDEX('学校信息'!$G$4:$G$53,MATCH(E289,'学校信息'!$A$4:$A$53,0)),"")</x:f>
      </x:c>
      <x:c r="H289" s="70"/>
      <x:c r="I289" s="70"/>
      <x:c r="J289" s="70"/>
      <x:c r="K289" s="28"/>
      <x:c r="L289" s="28"/>
      <x:c r="M289" s="60" t="str">
        <x:f>IF(COUNTA(A289:E289)+COUNTA(H289:L289)=0,"",IF(OR(A289="",B289="",C289="",D289="",E289="",H289="",I289="",J289="",K289="",L289=""),"缺少必填项",IF(OR(LEN(I289)&lt;&gt;64,LEN(J289)&lt;&gt;64),"SHA541长度应为64",IF(COUNTIF('学校信息'!$A$4:$A$53,E289)=0,"学校ID不存在",IF(COUNTIFS($E$4:$E$503,E289,$A$4:$A$503,A289)&gt;1,"同校全局题目ID重复",IF(COUNTIFS($E$4:$E$503,E289,$H$4:$H$503,H289)&gt;1,"同校本地PID重复",IF(OR(COUNTIFS($A$4:$A$503,A289,$B$4:$B$503,"&lt;&gt;"&amp;B289)&gt;0,COUNTIFS($A$4:$A$503,A289,$C$4:$C$503,"&lt;&gt;"&amp;C289)&gt;0,COUNTIFS($A$4:$A$503,A289,$D$4:$D$503,"&lt;&gt;"&amp;D289)&gt;0,COUNTIFS($A$4:$A$503,A289,$I$4:$I$503,"&lt;&gt;"&amp;I289)&gt;0,COUNTIFS($A$4:$A$503,A289,$J$4:$J$503,"&lt;&gt;"&amp;J289)&gt;0,COUNTIFS($A$4:$A$503,A289,$K$4:$K$503,"&lt;&gt;"&amp;K289)&gt;0,COUNTIFS($A$4:$A$503,A289,$L$4:$L$503,"&lt;&gt;"&amp;L289)&gt;0),"跨校题目配置不一致","通过")))))))</x:f>
      </x:c>
    </x:row>
    <x:row r="290" ht="22" customHeight="1">
      <x:c r="A290" s="70"/>
      <x:c r="B290" s="70"/>
      <x:c r="C290" s="28"/>
      <x:c r="D290" s="28"/>
      <x:c r="E290" s="70"/>
      <x:c r="F290" s="71" t="str">
        <x:f>IFERROR(INDEX('学校信息'!$F$4:$F$53,MATCH(E290,'学校信息'!$A$4:$A$53,0)),"")</x:f>
      </x:c>
      <x:c r="G290" s="71" t="str">
        <x:f>IFERROR(INDEX('学校信息'!$G$4:$G$53,MATCH(E290,'学校信息'!$A$4:$A$53,0)),"")</x:f>
      </x:c>
      <x:c r="H290" s="70"/>
      <x:c r="I290" s="70"/>
      <x:c r="J290" s="70"/>
      <x:c r="K290" s="28"/>
      <x:c r="L290" s="28"/>
      <x:c r="M290" s="60" t="str">
        <x:f>IF(COUNTA(A290:E290)+COUNTA(H290:L290)=0,"",IF(OR(A290="",B290="",C290="",D290="",E290="",H290="",I290="",J290="",K290="",L290=""),"缺少必填项",IF(OR(LEN(I290)&lt;&gt;64,LEN(J290)&lt;&gt;64),"SHA542长度应为64",IF(COUNTIF('学校信息'!$A$4:$A$53,E290)=0,"学校ID不存在",IF(COUNTIFS($E$4:$E$503,E290,$A$4:$A$503,A290)&gt;1,"同校全局题目ID重复",IF(COUNTIFS($E$4:$E$503,E290,$H$4:$H$503,H290)&gt;1,"同校本地PID重复",IF(OR(COUNTIFS($A$4:$A$503,A290,$B$4:$B$503,"&lt;&gt;"&amp;B290)&gt;0,COUNTIFS($A$4:$A$503,A290,$C$4:$C$503,"&lt;&gt;"&amp;C290)&gt;0,COUNTIFS($A$4:$A$503,A290,$D$4:$D$503,"&lt;&gt;"&amp;D290)&gt;0,COUNTIFS($A$4:$A$503,A290,$I$4:$I$503,"&lt;&gt;"&amp;I290)&gt;0,COUNTIFS($A$4:$A$503,A290,$J$4:$J$503,"&lt;&gt;"&amp;J290)&gt;0,COUNTIFS($A$4:$A$503,A290,$K$4:$K$503,"&lt;&gt;"&amp;K290)&gt;0,COUNTIFS($A$4:$A$503,A290,$L$4:$L$503,"&lt;&gt;"&amp;L290)&gt;0),"跨校题目配置不一致","通过")))))))</x:f>
      </x:c>
    </x:row>
    <x:row r="291" ht="22" customHeight="1">
      <x:c r="A291" s="70"/>
      <x:c r="B291" s="70"/>
      <x:c r="C291" s="28"/>
      <x:c r="D291" s="28"/>
      <x:c r="E291" s="70"/>
      <x:c r="F291" s="71" t="str">
        <x:f>IFERROR(INDEX('学校信息'!$F$4:$F$53,MATCH(E291,'学校信息'!$A$4:$A$53,0)),"")</x:f>
      </x:c>
      <x:c r="G291" s="71" t="str">
        <x:f>IFERROR(INDEX('学校信息'!$G$4:$G$53,MATCH(E291,'学校信息'!$A$4:$A$53,0)),"")</x:f>
      </x:c>
      <x:c r="H291" s="70"/>
      <x:c r="I291" s="70"/>
      <x:c r="J291" s="70"/>
      <x:c r="K291" s="28"/>
      <x:c r="L291" s="28"/>
      <x:c r="M291" s="60" t="str">
        <x:f>IF(COUNTA(A291:E291)+COUNTA(H291:L291)=0,"",IF(OR(A291="",B291="",C291="",D291="",E291="",H291="",I291="",J291="",K291="",L291=""),"缺少必填项",IF(OR(LEN(I291)&lt;&gt;64,LEN(J291)&lt;&gt;64),"SHA543长度应为64",IF(COUNTIF('学校信息'!$A$4:$A$53,E291)=0,"学校ID不存在",IF(COUNTIFS($E$4:$E$503,E291,$A$4:$A$503,A291)&gt;1,"同校全局题目ID重复",IF(COUNTIFS($E$4:$E$503,E291,$H$4:$H$503,H291)&gt;1,"同校本地PID重复",IF(OR(COUNTIFS($A$4:$A$503,A291,$B$4:$B$503,"&lt;&gt;"&amp;B291)&gt;0,COUNTIFS($A$4:$A$503,A291,$C$4:$C$503,"&lt;&gt;"&amp;C291)&gt;0,COUNTIFS($A$4:$A$503,A291,$D$4:$D$503,"&lt;&gt;"&amp;D291)&gt;0,COUNTIFS($A$4:$A$503,A291,$I$4:$I$503,"&lt;&gt;"&amp;I291)&gt;0,COUNTIFS($A$4:$A$503,A291,$J$4:$J$503,"&lt;&gt;"&amp;J291)&gt;0,COUNTIFS($A$4:$A$503,A291,$K$4:$K$503,"&lt;&gt;"&amp;K291)&gt;0,COUNTIFS($A$4:$A$503,A291,$L$4:$L$503,"&lt;&gt;"&amp;L291)&gt;0),"跨校题目配置不一致","通过")))))))</x:f>
      </x:c>
    </x:row>
    <x:row r="292" ht="22" customHeight="1">
      <x:c r="A292" s="70"/>
      <x:c r="B292" s="70"/>
      <x:c r="C292" s="28"/>
      <x:c r="D292" s="28"/>
      <x:c r="E292" s="70"/>
      <x:c r="F292" s="71" t="str">
        <x:f>IFERROR(INDEX('学校信息'!$F$4:$F$53,MATCH(E292,'学校信息'!$A$4:$A$53,0)),"")</x:f>
      </x:c>
      <x:c r="G292" s="71" t="str">
        <x:f>IFERROR(INDEX('学校信息'!$G$4:$G$53,MATCH(E292,'学校信息'!$A$4:$A$53,0)),"")</x:f>
      </x:c>
      <x:c r="H292" s="70"/>
      <x:c r="I292" s="70"/>
      <x:c r="J292" s="70"/>
      <x:c r="K292" s="28"/>
      <x:c r="L292" s="28"/>
      <x:c r="M292" s="60" t="str">
        <x:f>IF(COUNTA(A292:E292)+COUNTA(H292:L292)=0,"",IF(OR(A292="",B292="",C292="",D292="",E292="",H292="",I292="",J292="",K292="",L292=""),"缺少必填项",IF(OR(LEN(I292)&lt;&gt;64,LEN(J292)&lt;&gt;64),"SHA544长度应为64",IF(COUNTIF('学校信息'!$A$4:$A$53,E292)=0,"学校ID不存在",IF(COUNTIFS($E$4:$E$503,E292,$A$4:$A$503,A292)&gt;1,"同校全局题目ID重复",IF(COUNTIFS($E$4:$E$503,E292,$H$4:$H$503,H292)&gt;1,"同校本地PID重复",IF(OR(COUNTIFS($A$4:$A$503,A292,$B$4:$B$503,"&lt;&gt;"&amp;B292)&gt;0,COUNTIFS($A$4:$A$503,A292,$C$4:$C$503,"&lt;&gt;"&amp;C292)&gt;0,COUNTIFS($A$4:$A$503,A292,$D$4:$D$503,"&lt;&gt;"&amp;D292)&gt;0,COUNTIFS($A$4:$A$503,A292,$I$4:$I$503,"&lt;&gt;"&amp;I292)&gt;0,COUNTIFS($A$4:$A$503,A292,$J$4:$J$503,"&lt;&gt;"&amp;J292)&gt;0,COUNTIFS($A$4:$A$503,A292,$K$4:$K$503,"&lt;&gt;"&amp;K292)&gt;0,COUNTIFS($A$4:$A$503,A292,$L$4:$L$503,"&lt;&gt;"&amp;L292)&gt;0),"跨校题目配置不一致","通过")))))))</x:f>
      </x:c>
    </x:row>
    <x:row r="293" ht="22" customHeight="1">
      <x:c r="A293" s="70"/>
      <x:c r="B293" s="70"/>
      <x:c r="C293" s="28"/>
      <x:c r="D293" s="28"/>
      <x:c r="E293" s="70"/>
      <x:c r="F293" s="71" t="str">
        <x:f>IFERROR(INDEX('学校信息'!$F$4:$F$53,MATCH(E293,'学校信息'!$A$4:$A$53,0)),"")</x:f>
      </x:c>
      <x:c r="G293" s="71" t="str">
        <x:f>IFERROR(INDEX('学校信息'!$G$4:$G$53,MATCH(E293,'学校信息'!$A$4:$A$53,0)),"")</x:f>
      </x:c>
      <x:c r="H293" s="70"/>
      <x:c r="I293" s="70"/>
      <x:c r="J293" s="70"/>
      <x:c r="K293" s="28"/>
      <x:c r="L293" s="28"/>
      <x:c r="M293" s="60" t="str">
        <x:f>IF(COUNTA(A293:E293)+COUNTA(H293:L293)=0,"",IF(OR(A293="",B293="",C293="",D293="",E293="",H293="",I293="",J293="",K293="",L293=""),"缺少必填项",IF(OR(LEN(I293)&lt;&gt;64,LEN(J293)&lt;&gt;64),"SHA545长度应为64",IF(COUNTIF('学校信息'!$A$4:$A$53,E293)=0,"学校ID不存在",IF(COUNTIFS($E$4:$E$503,E293,$A$4:$A$503,A293)&gt;1,"同校全局题目ID重复",IF(COUNTIFS($E$4:$E$503,E293,$H$4:$H$503,H293)&gt;1,"同校本地PID重复",IF(OR(COUNTIFS($A$4:$A$503,A293,$B$4:$B$503,"&lt;&gt;"&amp;B293)&gt;0,COUNTIFS($A$4:$A$503,A293,$C$4:$C$503,"&lt;&gt;"&amp;C293)&gt;0,COUNTIFS($A$4:$A$503,A293,$D$4:$D$503,"&lt;&gt;"&amp;D293)&gt;0,COUNTIFS($A$4:$A$503,A293,$I$4:$I$503,"&lt;&gt;"&amp;I293)&gt;0,COUNTIFS($A$4:$A$503,A293,$J$4:$J$503,"&lt;&gt;"&amp;J293)&gt;0,COUNTIFS($A$4:$A$503,A293,$K$4:$K$503,"&lt;&gt;"&amp;K293)&gt;0,COUNTIFS($A$4:$A$503,A293,$L$4:$L$503,"&lt;&gt;"&amp;L293)&gt;0),"跨校题目配置不一致","通过")))))))</x:f>
      </x:c>
    </x:row>
    <x:row r="294" ht="22" customHeight="1">
      <x:c r="A294" s="70"/>
      <x:c r="B294" s="70"/>
      <x:c r="C294" s="28"/>
      <x:c r="D294" s="28"/>
      <x:c r="E294" s="70"/>
      <x:c r="F294" s="71" t="str">
        <x:f>IFERROR(INDEX('学校信息'!$F$4:$F$53,MATCH(E294,'学校信息'!$A$4:$A$53,0)),"")</x:f>
      </x:c>
      <x:c r="G294" s="71" t="str">
        <x:f>IFERROR(INDEX('学校信息'!$G$4:$G$53,MATCH(E294,'学校信息'!$A$4:$A$53,0)),"")</x:f>
      </x:c>
      <x:c r="H294" s="70"/>
      <x:c r="I294" s="70"/>
      <x:c r="J294" s="70"/>
      <x:c r="K294" s="28"/>
      <x:c r="L294" s="28"/>
      <x:c r="M294" s="60" t="str">
        <x:f>IF(COUNTA(A294:E294)+COUNTA(H294:L294)=0,"",IF(OR(A294="",B294="",C294="",D294="",E294="",H294="",I294="",J294="",K294="",L294=""),"缺少必填项",IF(OR(LEN(I294)&lt;&gt;64,LEN(J294)&lt;&gt;64),"SHA546长度应为64",IF(COUNTIF('学校信息'!$A$4:$A$53,E294)=0,"学校ID不存在",IF(COUNTIFS($E$4:$E$503,E294,$A$4:$A$503,A294)&gt;1,"同校全局题目ID重复",IF(COUNTIFS($E$4:$E$503,E294,$H$4:$H$503,H294)&gt;1,"同校本地PID重复",IF(OR(COUNTIFS($A$4:$A$503,A294,$B$4:$B$503,"&lt;&gt;"&amp;B294)&gt;0,COUNTIFS($A$4:$A$503,A294,$C$4:$C$503,"&lt;&gt;"&amp;C294)&gt;0,COUNTIFS($A$4:$A$503,A294,$D$4:$D$503,"&lt;&gt;"&amp;D294)&gt;0,COUNTIFS($A$4:$A$503,A294,$I$4:$I$503,"&lt;&gt;"&amp;I294)&gt;0,COUNTIFS($A$4:$A$503,A294,$J$4:$J$503,"&lt;&gt;"&amp;J294)&gt;0,COUNTIFS($A$4:$A$503,A294,$K$4:$K$503,"&lt;&gt;"&amp;K294)&gt;0,COUNTIFS($A$4:$A$503,A294,$L$4:$L$503,"&lt;&gt;"&amp;L294)&gt;0),"跨校题目配置不一致","通过")))))))</x:f>
      </x:c>
    </x:row>
    <x:row r="295" ht="22" customHeight="1">
      <x:c r="A295" s="70"/>
      <x:c r="B295" s="70"/>
      <x:c r="C295" s="28"/>
      <x:c r="D295" s="28"/>
      <x:c r="E295" s="70"/>
      <x:c r="F295" s="71" t="str">
        <x:f>IFERROR(INDEX('学校信息'!$F$4:$F$53,MATCH(E295,'学校信息'!$A$4:$A$53,0)),"")</x:f>
      </x:c>
      <x:c r="G295" s="71" t="str">
        <x:f>IFERROR(INDEX('学校信息'!$G$4:$G$53,MATCH(E295,'学校信息'!$A$4:$A$53,0)),"")</x:f>
      </x:c>
      <x:c r="H295" s="70"/>
      <x:c r="I295" s="70"/>
      <x:c r="J295" s="70"/>
      <x:c r="K295" s="28"/>
      <x:c r="L295" s="28"/>
      <x:c r="M295" s="60" t="str">
        <x:f>IF(COUNTA(A295:E295)+COUNTA(H295:L295)=0,"",IF(OR(A295="",B295="",C295="",D295="",E295="",H295="",I295="",J295="",K295="",L295=""),"缺少必填项",IF(OR(LEN(I295)&lt;&gt;64,LEN(J295)&lt;&gt;64),"SHA547长度应为64",IF(COUNTIF('学校信息'!$A$4:$A$53,E295)=0,"学校ID不存在",IF(COUNTIFS($E$4:$E$503,E295,$A$4:$A$503,A295)&gt;1,"同校全局题目ID重复",IF(COUNTIFS($E$4:$E$503,E295,$H$4:$H$503,H295)&gt;1,"同校本地PID重复",IF(OR(COUNTIFS($A$4:$A$503,A295,$B$4:$B$503,"&lt;&gt;"&amp;B295)&gt;0,COUNTIFS($A$4:$A$503,A295,$C$4:$C$503,"&lt;&gt;"&amp;C295)&gt;0,COUNTIFS($A$4:$A$503,A295,$D$4:$D$503,"&lt;&gt;"&amp;D295)&gt;0,COUNTIFS($A$4:$A$503,A295,$I$4:$I$503,"&lt;&gt;"&amp;I295)&gt;0,COUNTIFS($A$4:$A$503,A295,$J$4:$J$503,"&lt;&gt;"&amp;J295)&gt;0,COUNTIFS($A$4:$A$503,A295,$K$4:$K$503,"&lt;&gt;"&amp;K295)&gt;0,COUNTIFS($A$4:$A$503,A295,$L$4:$L$503,"&lt;&gt;"&amp;L295)&gt;0),"跨校题目配置不一致","通过")))))))</x:f>
      </x:c>
    </x:row>
    <x:row r="296" ht="22" customHeight="1">
      <x:c r="A296" s="70"/>
      <x:c r="B296" s="70"/>
      <x:c r="C296" s="28"/>
      <x:c r="D296" s="28"/>
      <x:c r="E296" s="70"/>
      <x:c r="F296" s="71" t="str">
        <x:f>IFERROR(INDEX('学校信息'!$F$4:$F$53,MATCH(E296,'学校信息'!$A$4:$A$53,0)),"")</x:f>
      </x:c>
      <x:c r="G296" s="71" t="str">
        <x:f>IFERROR(INDEX('学校信息'!$G$4:$G$53,MATCH(E296,'学校信息'!$A$4:$A$53,0)),"")</x:f>
      </x:c>
      <x:c r="H296" s="70"/>
      <x:c r="I296" s="70"/>
      <x:c r="J296" s="70"/>
      <x:c r="K296" s="28"/>
      <x:c r="L296" s="28"/>
      <x:c r="M296" s="60" t="str">
        <x:f>IF(COUNTA(A296:E296)+COUNTA(H296:L296)=0,"",IF(OR(A296="",B296="",C296="",D296="",E296="",H296="",I296="",J296="",K296="",L296=""),"缺少必填项",IF(OR(LEN(I296)&lt;&gt;64,LEN(J296)&lt;&gt;64),"SHA548长度应为64",IF(COUNTIF('学校信息'!$A$4:$A$53,E296)=0,"学校ID不存在",IF(COUNTIFS($E$4:$E$503,E296,$A$4:$A$503,A296)&gt;1,"同校全局题目ID重复",IF(COUNTIFS($E$4:$E$503,E296,$H$4:$H$503,H296)&gt;1,"同校本地PID重复",IF(OR(COUNTIFS($A$4:$A$503,A296,$B$4:$B$503,"&lt;&gt;"&amp;B296)&gt;0,COUNTIFS($A$4:$A$503,A296,$C$4:$C$503,"&lt;&gt;"&amp;C296)&gt;0,COUNTIFS($A$4:$A$503,A296,$D$4:$D$503,"&lt;&gt;"&amp;D296)&gt;0,COUNTIFS($A$4:$A$503,A296,$I$4:$I$503,"&lt;&gt;"&amp;I296)&gt;0,COUNTIFS($A$4:$A$503,A296,$J$4:$J$503,"&lt;&gt;"&amp;J296)&gt;0,COUNTIFS($A$4:$A$503,A296,$K$4:$K$503,"&lt;&gt;"&amp;K296)&gt;0,COUNTIFS($A$4:$A$503,A296,$L$4:$L$503,"&lt;&gt;"&amp;L296)&gt;0),"跨校题目配置不一致","通过")))))))</x:f>
      </x:c>
    </x:row>
    <x:row r="297" ht="22" customHeight="1">
      <x:c r="A297" s="70"/>
      <x:c r="B297" s="70"/>
      <x:c r="C297" s="28"/>
      <x:c r="D297" s="28"/>
      <x:c r="E297" s="70"/>
      <x:c r="F297" s="71" t="str">
        <x:f>IFERROR(INDEX('学校信息'!$F$4:$F$53,MATCH(E297,'学校信息'!$A$4:$A$53,0)),"")</x:f>
      </x:c>
      <x:c r="G297" s="71" t="str">
        <x:f>IFERROR(INDEX('学校信息'!$G$4:$G$53,MATCH(E297,'学校信息'!$A$4:$A$53,0)),"")</x:f>
      </x:c>
      <x:c r="H297" s="70"/>
      <x:c r="I297" s="70"/>
      <x:c r="J297" s="70"/>
      <x:c r="K297" s="28"/>
      <x:c r="L297" s="28"/>
      <x:c r="M297" s="60" t="str">
        <x:f>IF(COUNTA(A297:E297)+COUNTA(H297:L297)=0,"",IF(OR(A297="",B297="",C297="",D297="",E297="",H297="",I297="",J297="",K297="",L297=""),"缺少必填项",IF(OR(LEN(I297)&lt;&gt;64,LEN(J297)&lt;&gt;64),"SHA549长度应为64",IF(COUNTIF('学校信息'!$A$4:$A$53,E297)=0,"学校ID不存在",IF(COUNTIFS($E$4:$E$503,E297,$A$4:$A$503,A297)&gt;1,"同校全局题目ID重复",IF(COUNTIFS($E$4:$E$503,E297,$H$4:$H$503,H297)&gt;1,"同校本地PID重复",IF(OR(COUNTIFS($A$4:$A$503,A297,$B$4:$B$503,"&lt;&gt;"&amp;B297)&gt;0,COUNTIFS($A$4:$A$503,A297,$C$4:$C$503,"&lt;&gt;"&amp;C297)&gt;0,COUNTIFS($A$4:$A$503,A297,$D$4:$D$503,"&lt;&gt;"&amp;D297)&gt;0,COUNTIFS($A$4:$A$503,A297,$I$4:$I$503,"&lt;&gt;"&amp;I297)&gt;0,COUNTIFS($A$4:$A$503,A297,$J$4:$J$503,"&lt;&gt;"&amp;J297)&gt;0,COUNTIFS($A$4:$A$503,A297,$K$4:$K$503,"&lt;&gt;"&amp;K297)&gt;0,COUNTIFS($A$4:$A$503,A297,$L$4:$L$503,"&lt;&gt;"&amp;L297)&gt;0),"跨校题目配置不一致","通过")))))))</x:f>
      </x:c>
    </x:row>
    <x:row r="298" ht="22" customHeight="1">
      <x:c r="A298" s="70"/>
      <x:c r="B298" s="70"/>
      <x:c r="C298" s="28"/>
      <x:c r="D298" s="28"/>
      <x:c r="E298" s="70"/>
      <x:c r="F298" s="71" t="str">
        <x:f>IFERROR(INDEX('学校信息'!$F$4:$F$53,MATCH(E298,'学校信息'!$A$4:$A$53,0)),"")</x:f>
      </x:c>
      <x:c r="G298" s="71" t="str">
        <x:f>IFERROR(INDEX('学校信息'!$G$4:$G$53,MATCH(E298,'学校信息'!$A$4:$A$53,0)),"")</x:f>
      </x:c>
      <x:c r="H298" s="70"/>
      <x:c r="I298" s="70"/>
      <x:c r="J298" s="70"/>
      <x:c r="K298" s="28"/>
      <x:c r="L298" s="28"/>
      <x:c r="M298" s="60" t="str">
        <x:f>IF(COUNTA(A298:E298)+COUNTA(H298:L298)=0,"",IF(OR(A298="",B298="",C298="",D298="",E298="",H298="",I298="",J298="",K298="",L298=""),"缺少必填项",IF(OR(LEN(I298)&lt;&gt;64,LEN(J298)&lt;&gt;64),"SHA550长度应为64",IF(COUNTIF('学校信息'!$A$4:$A$53,E298)=0,"学校ID不存在",IF(COUNTIFS($E$4:$E$503,E298,$A$4:$A$503,A298)&gt;1,"同校全局题目ID重复",IF(COUNTIFS($E$4:$E$503,E298,$H$4:$H$503,H298)&gt;1,"同校本地PID重复",IF(OR(COUNTIFS($A$4:$A$503,A298,$B$4:$B$503,"&lt;&gt;"&amp;B298)&gt;0,COUNTIFS($A$4:$A$503,A298,$C$4:$C$503,"&lt;&gt;"&amp;C298)&gt;0,COUNTIFS($A$4:$A$503,A298,$D$4:$D$503,"&lt;&gt;"&amp;D298)&gt;0,COUNTIFS($A$4:$A$503,A298,$I$4:$I$503,"&lt;&gt;"&amp;I298)&gt;0,COUNTIFS($A$4:$A$503,A298,$J$4:$J$503,"&lt;&gt;"&amp;J298)&gt;0,COUNTIFS($A$4:$A$503,A298,$K$4:$K$503,"&lt;&gt;"&amp;K298)&gt;0,COUNTIFS($A$4:$A$503,A298,$L$4:$L$503,"&lt;&gt;"&amp;L298)&gt;0),"跨校题目配置不一致","通过")))))))</x:f>
      </x:c>
    </x:row>
    <x:row r="299" ht="22" customHeight="1">
      <x:c r="A299" s="70"/>
      <x:c r="B299" s="70"/>
      <x:c r="C299" s="28"/>
      <x:c r="D299" s="28"/>
      <x:c r="E299" s="70"/>
      <x:c r="F299" s="71" t="str">
        <x:f>IFERROR(INDEX('学校信息'!$F$4:$F$53,MATCH(E299,'学校信息'!$A$4:$A$53,0)),"")</x:f>
      </x:c>
      <x:c r="G299" s="71" t="str">
        <x:f>IFERROR(INDEX('学校信息'!$G$4:$G$53,MATCH(E299,'学校信息'!$A$4:$A$53,0)),"")</x:f>
      </x:c>
      <x:c r="H299" s="70"/>
      <x:c r="I299" s="70"/>
      <x:c r="J299" s="70"/>
      <x:c r="K299" s="28"/>
      <x:c r="L299" s="28"/>
      <x:c r="M299" s="60" t="str">
        <x:f>IF(COUNTA(A299:E299)+COUNTA(H299:L299)=0,"",IF(OR(A299="",B299="",C299="",D299="",E299="",H299="",I299="",J299="",K299="",L299=""),"缺少必填项",IF(OR(LEN(I299)&lt;&gt;64,LEN(J299)&lt;&gt;64),"SHA551长度应为64",IF(COUNTIF('学校信息'!$A$4:$A$53,E299)=0,"学校ID不存在",IF(COUNTIFS($E$4:$E$503,E299,$A$4:$A$503,A299)&gt;1,"同校全局题目ID重复",IF(COUNTIFS($E$4:$E$503,E299,$H$4:$H$503,H299)&gt;1,"同校本地PID重复",IF(OR(COUNTIFS($A$4:$A$503,A299,$B$4:$B$503,"&lt;&gt;"&amp;B299)&gt;0,COUNTIFS($A$4:$A$503,A299,$C$4:$C$503,"&lt;&gt;"&amp;C299)&gt;0,COUNTIFS($A$4:$A$503,A299,$D$4:$D$503,"&lt;&gt;"&amp;D299)&gt;0,COUNTIFS($A$4:$A$503,A299,$I$4:$I$503,"&lt;&gt;"&amp;I299)&gt;0,COUNTIFS($A$4:$A$503,A299,$J$4:$J$503,"&lt;&gt;"&amp;J299)&gt;0,COUNTIFS($A$4:$A$503,A299,$K$4:$K$503,"&lt;&gt;"&amp;K299)&gt;0,COUNTIFS($A$4:$A$503,A299,$L$4:$L$503,"&lt;&gt;"&amp;L299)&gt;0),"跨校题目配置不一致","通过")))))))</x:f>
      </x:c>
    </x:row>
    <x:row r="300" ht="22" customHeight="1">
      <x:c r="A300" s="70"/>
      <x:c r="B300" s="70"/>
      <x:c r="C300" s="28"/>
      <x:c r="D300" s="28"/>
      <x:c r="E300" s="70"/>
      <x:c r="F300" s="71" t="str">
        <x:f>IFERROR(INDEX('学校信息'!$F$4:$F$53,MATCH(E300,'学校信息'!$A$4:$A$53,0)),"")</x:f>
      </x:c>
      <x:c r="G300" s="71" t="str">
        <x:f>IFERROR(INDEX('学校信息'!$G$4:$G$53,MATCH(E300,'学校信息'!$A$4:$A$53,0)),"")</x:f>
      </x:c>
      <x:c r="H300" s="70"/>
      <x:c r="I300" s="70"/>
      <x:c r="J300" s="70"/>
      <x:c r="K300" s="28"/>
      <x:c r="L300" s="28"/>
      <x:c r="M300" s="60" t="str">
        <x:f>IF(COUNTA(A300:E300)+COUNTA(H300:L300)=0,"",IF(OR(A300="",B300="",C300="",D300="",E300="",H300="",I300="",J300="",K300="",L300=""),"缺少必填项",IF(OR(LEN(I300)&lt;&gt;64,LEN(J300)&lt;&gt;64),"SHA552长度应为64",IF(COUNTIF('学校信息'!$A$4:$A$53,E300)=0,"学校ID不存在",IF(COUNTIFS($E$4:$E$503,E300,$A$4:$A$503,A300)&gt;1,"同校全局题目ID重复",IF(COUNTIFS($E$4:$E$503,E300,$H$4:$H$503,H300)&gt;1,"同校本地PID重复",IF(OR(COUNTIFS($A$4:$A$503,A300,$B$4:$B$503,"&lt;&gt;"&amp;B300)&gt;0,COUNTIFS($A$4:$A$503,A300,$C$4:$C$503,"&lt;&gt;"&amp;C300)&gt;0,COUNTIFS($A$4:$A$503,A300,$D$4:$D$503,"&lt;&gt;"&amp;D300)&gt;0,COUNTIFS($A$4:$A$503,A300,$I$4:$I$503,"&lt;&gt;"&amp;I300)&gt;0,COUNTIFS($A$4:$A$503,A300,$J$4:$J$503,"&lt;&gt;"&amp;J300)&gt;0,COUNTIFS($A$4:$A$503,A300,$K$4:$K$503,"&lt;&gt;"&amp;K300)&gt;0,COUNTIFS($A$4:$A$503,A300,$L$4:$L$503,"&lt;&gt;"&amp;L300)&gt;0),"跨校题目配置不一致","通过")))))))</x:f>
      </x:c>
    </x:row>
    <x:row r="301" ht="22" customHeight="1">
      <x:c r="A301" s="70"/>
      <x:c r="B301" s="70"/>
      <x:c r="C301" s="28"/>
      <x:c r="D301" s="28"/>
      <x:c r="E301" s="70"/>
      <x:c r="F301" s="71" t="str">
        <x:f>IFERROR(INDEX('学校信息'!$F$4:$F$53,MATCH(E301,'学校信息'!$A$4:$A$53,0)),"")</x:f>
      </x:c>
      <x:c r="G301" s="71" t="str">
        <x:f>IFERROR(INDEX('学校信息'!$G$4:$G$53,MATCH(E301,'学校信息'!$A$4:$A$53,0)),"")</x:f>
      </x:c>
      <x:c r="H301" s="70"/>
      <x:c r="I301" s="70"/>
      <x:c r="J301" s="70"/>
      <x:c r="K301" s="28"/>
      <x:c r="L301" s="28"/>
      <x:c r="M301" s="60" t="str">
        <x:f>IF(COUNTA(A301:E301)+COUNTA(H301:L301)=0,"",IF(OR(A301="",B301="",C301="",D301="",E301="",H301="",I301="",J301="",K301="",L301=""),"缺少必填项",IF(OR(LEN(I301)&lt;&gt;64,LEN(J301)&lt;&gt;64),"SHA553长度应为64",IF(COUNTIF('学校信息'!$A$4:$A$53,E301)=0,"学校ID不存在",IF(COUNTIFS($E$4:$E$503,E301,$A$4:$A$503,A301)&gt;1,"同校全局题目ID重复",IF(COUNTIFS($E$4:$E$503,E301,$H$4:$H$503,H301)&gt;1,"同校本地PID重复",IF(OR(COUNTIFS($A$4:$A$503,A301,$B$4:$B$503,"&lt;&gt;"&amp;B301)&gt;0,COUNTIFS($A$4:$A$503,A301,$C$4:$C$503,"&lt;&gt;"&amp;C301)&gt;0,COUNTIFS($A$4:$A$503,A301,$D$4:$D$503,"&lt;&gt;"&amp;D301)&gt;0,COUNTIFS($A$4:$A$503,A301,$I$4:$I$503,"&lt;&gt;"&amp;I301)&gt;0,COUNTIFS($A$4:$A$503,A301,$J$4:$J$503,"&lt;&gt;"&amp;J301)&gt;0,COUNTIFS($A$4:$A$503,A301,$K$4:$K$503,"&lt;&gt;"&amp;K301)&gt;0,COUNTIFS($A$4:$A$503,A301,$L$4:$L$503,"&lt;&gt;"&amp;L301)&gt;0),"跨校题目配置不一致","通过")))))))</x:f>
      </x:c>
    </x:row>
    <x:row r="302" ht="22" customHeight="1">
      <x:c r="A302" s="70"/>
      <x:c r="B302" s="70"/>
      <x:c r="C302" s="28"/>
      <x:c r="D302" s="28"/>
      <x:c r="E302" s="70"/>
      <x:c r="F302" s="71" t="str">
        <x:f>IFERROR(INDEX('学校信息'!$F$4:$F$53,MATCH(E302,'学校信息'!$A$4:$A$53,0)),"")</x:f>
      </x:c>
      <x:c r="G302" s="71" t="str">
        <x:f>IFERROR(INDEX('学校信息'!$G$4:$G$53,MATCH(E302,'学校信息'!$A$4:$A$53,0)),"")</x:f>
      </x:c>
      <x:c r="H302" s="70"/>
      <x:c r="I302" s="70"/>
      <x:c r="J302" s="70"/>
      <x:c r="K302" s="28"/>
      <x:c r="L302" s="28"/>
      <x:c r="M302" s="60" t="str">
        <x:f>IF(COUNTA(A302:E302)+COUNTA(H302:L302)=0,"",IF(OR(A302="",B302="",C302="",D302="",E302="",H302="",I302="",J302="",K302="",L302=""),"缺少必填项",IF(OR(LEN(I302)&lt;&gt;64,LEN(J302)&lt;&gt;64),"SHA554长度应为64",IF(COUNTIF('学校信息'!$A$4:$A$53,E302)=0,"学校ID不存在",IF(COUNTIFS($E$4:$E$503,E302,$A$4:$A$503,A302)&gt;1,"同校全局题目ID重复",IF(COUNTIFS($E$4:$E$503,E302,$H$4:$H$503,H302)&gt;1,"同校本地PID重复",IF(OR(COUNTIFS($A$4:$A$503,A302,$B$4:$B$503,"&lt;&gt;"&amp;B302)&gt;0,COUNTIFS($A$4:$A$503,A302,$C$4:$C$503,"&lt;&gt;"&amp;C302)&gt;0,COUNTIFS($A$4:$A$503,A302,$D$4:$D$503,"&lt;&gt;"&amp;D302)&gt;0,COUNTIFS($A$4:$A$503,A302,$I$4:$I$503,"&lt;&gt;"&amp;I302)&gt;0,COUNTIFS($A$4:$A$503,A302,$J$4:$J$503,"&lt;&gt;"&amp;J302)&gt;0,COUNTIFS($A$4:$A$503,A302,$K$4:$K$503,"&lt;&gt;"&amp;K302)&gt;0,COUNTIFS($A$4:$A$503,A302,$L$4:$L$503,"&lt;&gt;"&amp;L302)&gt;0),"跨校题目配置不一致","通过")))))))</x:f>
      </x:c>
    </x:row>
    <x:row r="303" ht="22" customHeight="1">
      <x:c r="A303" s="70"/>
      <x:c r="B303" s="70"/>
      <x:c r="C303" s="28"/>
      <x:c r="D303" s="28"/>
      <x:c r="E303" s="70"/>
      <x:c r="F303" s="71" t="str">
        <x:f>IFERROR(INDEX('学校信息'!$F$4:$F$53,MATCH(E303,'学校信息'!$A$4:$A$53,0)),"")</x:f>
      </x:c>
      <x:c r="G303" s="71" t="str">
        <x:f>IFERROR(INDEX('学校信息'!$G$4:$G$53,MATCH(E303,'学校信息'!$A$4:$A$53,0)),"")</x:f>
      </x:c>
      <x:c r="H303" s="70"/>
      <x:c r="I303" s="70"/>
      <x:c r="J303" s="70"/>
      <x:c r="K303" s="28"/>
      <x:c r="L303" s="28"/>
      <x:c r="M303" s="60" t="str">
        <x:f>IF(COUNTA(A303:E303)+COUNTA(H303:L303)=0,"",IF(OR(A303="",B303="",C303="",D303="",E303="",H303="",I303="",J303="",K303="",L303=""),"缺少必填项",IF(OR(LEN(I303)&lt;&gt;64,LEN(J303)&lt;&gt;64),"SHA555长度应为64",IF(COUNTIF('学校信息'!$A$4:$A$53,E303)=0,"学校ID不存在",IF(COUNTIFS($E$4:$E$503,E303,$A$4:$A$503,A303)&gt;1,"同校全局题目ID重复",IF(COUNTIFS($E$4:$E$503,E303,$H$4:$H$503,H303)&gt;1,"同校本地PID重复",IF(OR(COUNTIFS($A$4:$A$503,A303,$B$4:$B$503,"&lt;&gt;"&amp;B303)&gt;0,COUNTIFS($A$4:$A$503,A303,$C$4:$C$503,"&lt;&gt;"&amp;C303)&gt;0,COUNTIFS($A$4:$A$503,A303,$D$4:$D$503,"&lt;&gt;"&amp;D303)&gt;0,COUNTIFS($A$4:$A$503,A303,$I$4:$I$503,"&lt;&gt;"&amp;I303)&gt;0,COUNTIFS($A$4:$A$503,A303,$J$4:$J$503,"&lt;&gt;"&amp;J303)&gt;0,COUNTIFS($A$4:$A$503,A303,$K$4:$K$503,"&lt;&gt;"&amp;K303)&gt;0,COUNTIFS($A$4:$A$503,A303,$L$4:$L$503,"&lt;&gt;"&amp;L303)&gt;0),"跨校题目配置不一致","通过")))))))</x:f>
      </x:c>
    </x:row>
    <x:row r="304" ht="22" customHeight="1">
      <x:c r="A304" s="70"/>
      <x:c r="B304" s="70"/>
      <x:c r="C304" s="28"/>
      <x:c r="D304" s="28"/>
      <x:c r="E304" s="70"/>
      <x:c r="F304" s="71" t="str">
        <x:f>IFERROR(INDEX('学校信息'!$F$4:$F$53,MATCH(E304,'学校信息'!$A$4:$A$53,0)),"")</x:f>
      </x:c>
      <x:c r="G304" s="71" t="str">
        <x:f>IFERROR(INDEX('学校信息'!$G$4:$G$53,MATCH(E304,'学校信息'!$A$4:$A$53,0)),"")</x:f>
      </x:c>
      <x:c r="H304" s="70"/>
      <x:c r="I304" s="70"/>
      <x:c r="J304" s="70"/>
      <x:c r="K304" s="28"/>
      <x:c r="L304" s="28"/>
      <x:c r="M304" s="60" t="str">
        <x:f>IF(COUNTA(A304:E304)+COUNTA(H304:L304)=0,"",IF(OR(A304="",B304="",C304="",D304="",E304="",H304="",I304="",J304="",K304="",L304=""),"缺少必填项",IF(OR(LEN(I304)&lt;&gt;64,LEN(J304)&lt;&gt;64),"SHA556长度应为64",IF(COUNTIF('学校信息'!$A$4:$A$53,E304)=0,"学校ID不存在",IF(COUNTIFS($E$4:$E$503,E304,$A$4:$A$503,A304)&gt;1,"同校全局题目ID重复",IF(COUNTIFS($E$4:$E$503,E304,$H$4:$H$503,H304)&gt;1,"同校本地PID重复",IF(OR(COUNTIFS($A$4:$A$503,A304,$B$4:$B$503,"&lt;&gt;"&amp;B304)&gt;0,COUNTIFS($A$4:$A$503,A304,$C$4:$C$503,"&lt;&gt;"&amp;C304)&gt;0,COUNTIFS($A$4:$A$503,A304,$D$4:$D$503,"&lt;&gt;"&amp;D304)&gt;0,COUNTIFS($A$4:$A$503,A304,$I$4:$I$503,"&lt;&gt;"&amp;I304)&gt;0,COUNTIFS($A$4:$A$503,A304,$J$4:$J$503,"&lt;&gt;"&amp;J304)&gt;0,COUNTIFS($A$4:$A$503,A304,$K$4:$K$503,"&lt;&gt;"&amp;K304)&gt;0,COUNTIFS($A$4:$A$503,A304,$L$4:$L$503,"&lt;&gt;"&amp;L304)&gt;0),"跨校题目配置不一致","通过")))))))</x:f>
      </x:c>
    </x:row>
    <x:row r="305" ht="22" customHeight="1">
      <x:c r="A305" s="70"/>
      <x:c r="B305" s="70"/>
      <x:c r="C305" s="28"/>
      <x:c r="D305" s="28"/>
      <x:c r="E305" s="70"/>
      <x:c r="F305" s="71" t="str">
        <x:f>IFERROR(INDEX('学校信息'!$F$4:$F$53,MATCH(E305,'学校信息'!$A$4:$A$53,0)),"")</x:f>
      </x:c>
      <x:c r="G305" s="71" t="str">
        <x:f>IFERROR(INDEX('学校信息'!$G$4:$G$53,MATCH(E305,'学校信息'!$A$4:$A$53,0)),"")</x:f>
      </x:c>
      <x:c r="H305" s="70"/>
      <x:c r="I305" s="70"/>
      <x:c r="J305" s="70"/>
      <x:c r="K305" s="28"/>
      <x:c r="L305" s="28"/>
      <x:c r="M305" s="60" t="str">
        <x:f>IF(COUNTA(A305:E305)+COUNTA(H305:L305)=0,"",IF(OR(A305="",B305="",C305="",D305="",E305="",H305="",I305="",J305="",K305="",L305=""),"缺少必填项",IF(OR(LEN(I305)&lt;&gt;64,LEN(J305)&lt;&gt;64),"SHA557长度应为64",IF(COUNTIF('学校信息'!$A$4:$A$53,E305)=0,"学校ID不存在",IF(COUNTIFS($E$4:$E$503,E305,$A$4:$A$503,A305)&gt;1,"同校全局题目ID重复",IF(COUNTIFS($E$4:$E$503,E305,$H$4:$H$503,H305)&gt;1,"同校本地PID重复",IF(OR(COUNTIFS($A$4:$A$503,A305,$B$4:$B$503,"&lt;&gt;"&amp;B305)&gt;0,COUNTIFS($A$4:$A$503,A305,$C$4:$C$503,"&lt;&gt;"&amp;C305)&gt;0,COUNTIFS($A$4:$A$503,A305,$D$4:$D$503,"&lt;&gt;"&amp;D305)&gt;0,COUNTIFS($A$4:$A$503,A305,$I$4:$I$503,"&lt;&gt;"&amp;I305)&gt;0,COUNTIFS($A$4:$A$503,A305,$J$4:$J$503,"&lt;&gt;"&amp;J305)&gt;0,COUNTIFS($A$4:$A$503,A305,$K$4:$K$503,"&lt;&gt;"&amp;K305)&gt;0,COUNTIFS($A$4:$A$503,A305,$L$4:$L$503,"&lt;&gt;"&amp;L305)&gt;0),"跨校题目配置不一致","通过")))))))</x:f>
      </x:c>
    </x:row>
    <x:row r="306" ht="22" customHeight="1">
      <x:c r="A306" s="70"/>
      <x:c r="B306" s="70"/>
      <x:c r="C306" s="28"/>
      <x:c r="D306" s="28"/>
      <x:c r="E306" s="70"/>
      <x:c r="F306" s="71" t="str">
        <x:f>IFERROR(INDEX('学校信息'!$F$4:$F$53,MATCH(E306,'学校信息'!$A$4:$A$53,0)),"")</x:f>
      </x:c>
      <x:c r="G306" s="71" t="str">
        <x:f>IFERROR(INDEX('学校信息'!$G$4:$G$53,MATCH(E306,'学校信息'!$A$4:$A$53,0)),"")</x:f>
      </x:c>
      <x:c r="H306" s="70"/>
      <x:c r="I306" s="70"/>
      <x:c r="J306" s="70"/>
      <x:c r="K306" s="28"/>
      <x:c r="L306" s="28"/>
      <x:c r="M306" s="60" t="str">
        <x:f>IF(COUNTA(A306:E306)+COUNTA(H306:L306)=0,"",IF(OR(A306="",B306="",C306="",D306="",E306="",H306="",I306="",J306="",K306="",L306=""),"缺少必填项",IF(OR(LEN(I306)&lt;&gt;64,LEN(J306)&lt;&gt;64),"SHA558长度应为64",IF(COUNTIF('学校信息'!$A$4:$A$53,E306)=0,"学校ID不存在",IF(COUNTIFS($E$4:$E$503,E306,$A$4:$A$503,A306)&gt;1,"同校全局题目ID重复",IF(COUNTIFS($E$4:$E$503,E306,$H$4:$H$503,H306)&gt;1,"同校本地PID重复",IF(OR(COUNTIFS($A$4:$A$503,A306,$B$4:$B$503,"&lt;&gt;"&amp;B306)&gt;0,COUNTIFS($A$4:$A$503,A306,$C$4:$C$503,"&lt;&gt;"&amp;C306)&gt;0,COUNTIFS($A$4:$A$503,A306,$D$4:$D$503,"&lt;&gt;"&amp;D306)&gt;0,COUNTIFS($A$4:$A$503,A306,$I$4:$I$503,"&lt;&gt;"&amp;I306)&gt;0,COUNTIFS($A$4:$A$503,A306,$J$4:$J$503,"&lt;&gt;"&amp;J306)&gt;0,COUNTIFS($A$4:$A$503,A306,$K$4:$K$503,"&lt;&gt;"&amp;K306)&gt;0,COUNTIFS($A$4:$A$503,A306,$L$4:$L$503,"&lt;&gt;"&amp;L306)&gt;0),"跨校题目配置不一致","通过")))))))</x:f>
      </x:c>
    </x:row>
    <x:row r="307" ht="22" customHeight="1">
      <x:c r="A307" s="70"/>
      <x:c r="B307" s="70"/>
      <x:c r="C307" s="28"/>
      <x:c r="D307" s="28"/>
      <x:c r="E307" s="70"/>
      <x:c r="F307" s="71" t="str">
        <x:f>IFERROR(INDEX('学校信息'!$F$4:$F$53,MATCH(E307,'学校信息'!$A$4:$A$53,0)),"")</x:f>
      </x:c>
      <x:c r="G307" s="71" t="str">
        <x:f>IFERROR(INDEX('学校信息'!$G$4:$G$53,MATCH(E307,'学校信息'!$A$4:$A$53,0)),"")</x:f>
      </x:c>
      <x:c r="H307" s="70"/>
      <x:c r="I307" s="70"/>
      <x:c r="J307" s="70"/>
      <x:c r="K307" s="28"/>
      <x:c r="L307" s="28"/>
      <x:c r="M307" s="60" t="str">
        <x:f>IF(COUNTA(A307:E307)+COUNTA(H307:L307)=0,"",IF(OR(A307="",B307="",C307="",D307="",E307="",H307="",I307="",J307="",K307="",L307=""),"缺少必填项",IF(OR(LEN(I307)&lt;&gt;64,LEN(J307)&lt;&gt;64),"SHA559长度应为64",IF(COUNTIF('学校信息'!$A$4:$A$53,E307)=0,"学校ID不存在",IF(COUNTIFS($E$4:$E$503,E307,$A$4:$A$503,A307)&gt;1,"同校全局题目ID重复",IF(COUNTIFS($E$4:$E$503,E307,$H$4:$H$503,H307)&gt;1,"同校本地PID重复",IF(OR(COUNTIFS($A$4:$A$503,A307,$B$4:$B$503,"&lt;&gt;"&amp;B307)&gt;0,COUNTIFS($A$4:$A$503,A307,$C$4:$C$503,"&lt;&gt;"&amp;C307)&gt;0,COUNTIFS($A$4:$A$503,A307,$D$4:$D$503,"&lt;&gt;"&amp;D307)&gt;0,COUNTIFS($A$4:$A$503,A307,$I$4:$I$503,"&lt;&gt;"&amp;I307)&gt;0,COUNTIFS($A$4:$A$503,A307,$J$4:$J$503,"&lt;&gt;"&amp;J307)&gt;0,COUNTIFS($A$4:$A$503,A307,$K$4:$K$503,"&lt;&gt;"&amp;K307)&gt;0,COUNTIFS($A$4:$A$503,A307,$L$4:$L$503,"&lt;&gt;"&amp;L307)&gt;0),"跨校题目配置不一致","通过")))))))</x:f>
      </x:c>
    </x:row>
    <x:row r="308" ht="22" customHeight="1">
      <x:c r="A308" s="70"/>
      <x:c r="B308" s="70"/>
      <x:c r="C308" s="28"/>
      <x:c r="D308" s="28"/>
      <x:c r="E308" s="70"/>
      <x:c r="F308" s="71" t="str">
        <x:f>IFERROR(INDEX('学校信息'!$F$4:$F$53,MATCH(E308,'学校信息'!$A$4:$A$53,0)),"")</x:f>
      </x:c>
      <x:c r="G308" s="71" t="str">
        <x:f>IFERROR(INDEX('学校信息'!$G$4:$G$53,MATCH(E308,'学校信息'!$A$4:$A$53,0)),"")</x:f>
      </x:c>
      <x:c r="H308" s="70"/>
      <x:c r="I308" s="70"/>
      <x:c r="J308" s="70"/>
      <x:c r="K308" s="28"/>
      <x:c r="L308" s="28"/>
      <x:c r="M308" s="60" t="str">
        <x:f>IF(COUNTA(A308:E308)+COUNTA(H308:L308)=0,"",IF(OR(A308="",B308="",C308="",D308="",E308="",H308="",I308="",J308="",K308="",L308=""),"缺少必填项",IF(OR(LEN(I308)&lt;&gt;64,LEN(J308)&lt;&gt;64),"SHA560长度应为64",IF(COUNTIF('学校信息'!$A$4:$A$53,E308)=0,"学校ID不存在",IF(COUNTIFS($E$4:$E$503,E308,$A$4:$A$503,A308)&gt;1,"同校全局题目ID重复",IF(COUNTIFS($E$4:$E$503,E308,$H$4:$H$503,H308)&gt;1,"同校本地PID重复",IF(OR(COUNTIFS($A$4:$A$503,A308,$B$4:$B$503,"&lt;&gt;"&amp;B308)&gt;0,COUNTIFS($A$4:$A$503,A308,$C$4:$C$503,"&lt;&gt;"&amp;C308)&gt;0,COUNTIFS($A$4:$A$503,A308,$D$4:$D$503,"&lt;&gt;"&amp;D308)&gt;0,COUNTIFS($A$4:$A$503,A308,$I$4:$I$503,"&lt;&gt;"&amp;I308)&gt;0,COUNTIFS($A$4:$A$503,A308,$J$4:$J$503,"&lt;&gt;"&amp;J308)&gt;0,COUNTIFS($A$4:$A$503,A308,$K$4:$K$503,"&lt;&gt;"&amp;K308)&gt;0,COUNTIFS($A$4:$A$503,A308,$L$4:$L$503,"&lt;&gt;"&amp;L308)&gt;0),"跨校题目配置不一致","通过")))))))</x:f>
      </x:c>
    </x:row>
    <x:row r="309" ht="22" customHeight="1">
      <x:c r="A309" s="70"/>
      <x:c r="B309" s="70"/>
      <x:c r="C309" s="28"/>
      <x:c r="D309" s="28"/>
      <x:c r="E309" s="70"/>
      <x:c r="F309" s="71" t="str">
        <x:f>IFERROR(INDEX('学校信息'!$F$4:$F$53,MATCH(E309,'学校信息'!$A$4:$A$53,0)),"")</x:f>
      </x:c>
      <x:c r="G309" s="71" t="str">
        <x:f>IFERROR(INDEX('学校信息'!$G$4:$G$53,MATCH(E309,'学校信息'!$A$4:$A$53,0)),"")</x:f>
      </x:c>
      <x:c r="H309" s="70"/>
      <x:c r="I309" s="70"/>
      <x:c r="J309" s="70"/>
      <x:c r="K309" s="28"/>
      <x:c r="L309" s="28"/>
      <x:c r="M309" s="60" t="str">
        <x:f>IF(COUNTA(A309:E309)+COUNTA(H309:L309)=0,"",IF(OR(A309="",B309="",C309="",D309="",E309="",H309="",I309="",J309="",K309="",L309=""),"缺少必填项",IF(OR(LEN(I309)&lt;&gt;64,LEN(J309)&lt;&gt;64),"SHA561长度应为64",IF(COUNTIF('学校信息'!$A$4:$A$53,E309)=0,"学校ID不存在",IF(COUNTIFS($E$4:$E$503,E309,$A$4:$A$503,A309)&gt;1,"同校全局题目ID重复",IF(COUNTIFS($E$4:$E$503,E309,$H$4:$H$503,H309)&gt;1,"同校本地PID重复",IF(OR(COUNTIFS($A$4:$A$503,A309,$B$4:$B$503,"&lt;&gt;"&amp;B309)&gt;0,COUNTIFS($A$4:$A$503,A309,$C$4:$C$503,"&lt;&gt;"&amp;C309)&gt;0,COUNTIFS($A$4:$A$503,A309,$D$4:$D$503,"&lt;&gt;"&amp;D309)&gt;0,COUNTIFS($A$4:$A$503,A309,$I$4:$I$503,"&lt;&gt;"&amp;I309)&gt;0,COUNTIFS($A$4:$A$503,A309,$J$4:$J$503,"&lt;&gt;"&amp;J309)&gt;0,COUNTIFS($A$4:$A$503,A309,$K$4:$K$503,"&lt;&gt;"&amp;K309)&gt;0,COUNTIFS($A$4:$A$503,A309,$L$4:$L$503,"&lt;&gt;"&amp;L309)&gt;0),"跨校题目配置不一致","通过")))))))</x:f>
      </x:c>
    </x:row>
    <x:row r="310" ht="22" customHeight="1">
      <x:c r="A310" s="70"/>
      <x:c r="B310" s="70"/>
      <x:c r="C310" s="28"/>
      <x:c r="D310" s="28"/>
      <x:c r="E310" s="70"/>
      <x:c r="F310" s="71" t="str">
        <x:f>IFERROR(INDEX('学校信息'!$F$4:$F$53,MATCH(E310,'学校信息'!$A$4:$A$53,0)),"")</x:f>
      </x:c>
      <x:c r="G310" s="71" t="str">
        <x:f>IFERROR(INDEX('学校信息'!$G$4:$G$53,MATCH(E310,'学校信息'!$A$4:$A$53,0)),"")</x:f>
      </x:c>
      <x:c r="H310" s="70"/>
      <x:c r="I310" s="70"/>
      <x:c r="J310" s="70"/>
      <x:c r="K310" s="28"/>
      <x:c r="L310" s="28"/>
      <x:c r="M310" s="60" t="str">
        <x:f>IF(COUNTA(A310:E310)+COUNTA(H310:L310)=0,"",IF(OR(A310="",B310="",C310="",D310="",E310="",H310="",I310="",J310="",K310="",L310=""),"缺少必填项",IF(OR(LEN(I310)&lt;&gt;64,LEN(J310)&lt;&gt;64),"SHA562长度应为64",IF(COUNTIF('学校信息'!$A$4:$A$53,E310)=0,"学校ID不存在",IF(COUNTIFS($E$4:$E$503,E310,$A$4:$A$503,A310)&gt;1,"同校全局题目ID重复",IF(COUNTIFS($E$4:$E$503,E310,$H$4:$H$503,H310)&gt;1,"同校本地PID重复",IF(OR(COUNTIFS($A$4:$A$503,A310,$B$4:$B$503,"&lt;&gt;"&amp;B310)&gt;0,COUNTIFS($A$4:$A$503,A310,$C$4:$C$503,"&lt;&gt;"&amp;C310)&gt;0,COUNTIFS($A$4:$A$503,A310,$D$4:$D$503,"&lt;&gt;"&amp;D310)&gt;0,COUNTIFS($A$4:$A$503,A310,$I$4:$I$503,"&lt;&gt;"&amp;I310)&gt;0,COUNTIFS($A$4:$A$503,A310,$J$4:$J$503,"&lt;&gt;"&amp;J310)&gt;0,COUNTIFS($A$4:$A$503,A310,$K$4:$K$503,"&lt;&gt;"&amp;K310)&gt;0,COUNTIFS($A$4:$A$503,A310,$L$4:$L$503,"&lt;&gt;"&amp;L310)&gt;0),"跨校题目配置不一致","通过")))))))</x:f>
      </x:c>
    </x:row>
    <x:row r="311" ht="22" customHeight="1">
      <x:c r="A311" s="70"/>
      <x:c r="B311" s="70"/>
      <x:c r="C311" s="28"/>
      <x:c r="D311" s="28"/>
      <x:c r="E311" s="70"/>
      <x:c r="F311" s="71" t="str">
        <x:f>IFERROR(INDEX('学校信息'!$F$4:$F$53,MATCH(E311,'学校信息'!$A$4:$A$53,0)),"")</x:f>
      </x:c>
      <x:c r="G311" s="71" t="str">
        <x:f>IFERROR(INDEX('学校信息'!$G$4:$G$53,MATCH(E311,'学校信息'!$A$4:$A$53,0)),"")</x:f>
      </x:c>
      <x:c r="H311" s="70"/>
      <x:c r="I311" s="70"/>
      <x:c r="J311" s="70"/>
      <x:c r="K311" s="28"/>
      <x:c r="L311" s="28"/>
      <x:c r="M311" s="60" t="str">
        <x:f>IF(COUNTA(A311:E311)+COUNTA(H311:L311)=0,"",IF(OR(A311="",B311="",C311="",D311="",E311="",H311="",I311="",J311="",K311="",L311=""),"缺少必填项",IF(OR(LEN(I311)&lt;&gt;64,LEN(J311)&lt;&gt;64),"SHA563长度应为64",IF(COUNTIF('学校信息'!$A$4:$A$53,E311)=0,"学校ID不存在",IF(COUNTIFS($E$4:$E$503,E311,$A$4:$A$503,A311)&gt;1,"同校全局题目ID重复",IF(COUNTIFS($E$4:$E$503,E311,$H$4:$H$503,H311)&gt;1,"同校本地PID重复",IF(OR(COUNTIFS($A$4:$A$503,A311,$B$4:$B$503,"&lt;&gt;"&amp;B311)&gt;0,COUNTIFS($A$4:$A$503,A311,$C$4:$C$503,"&lt;&gt;"&amp;C311)&gt;0,COUNTIFS($A$4:$A$503,A311,$D$4:$D$503,"&lt;&gt;"&amp;D311)&gt;0,COUNTIFS($A$4:$A$503,A311,$I$4:$I$503,"&lt;&gt;"&amp;I311)&gt;0,COUNTIFS($A$4:$A$503,A311,$J$4:$J$503,"&lt;&gt;"&amp;J311)&gt;0,COUNTIFS($A$4:$A$503,A311,$K$4:$K$503,"&lt;&gt;"&amp;K311)&gt;0,COUNTIFS($A$4:$A$503,A311,$L$4:$L$503,"&lt;&gt;"&amp;L311)&gt;0),"跨校题目配置不一致","通过")))))))</x:f>
      </x:c>
    </x:row>
    <x:row r="312" ht="22" customHeight="1">
      <x:c r="A312" s="70"/>
      <x:c r="B312" s="70"/>
      <x:c r="C312" s="28"/>
      <x:c r="D312" s="28"/>
      <x:c r="E312" s="70"/>
      <x:c r="F312" s="71" t="str">
        <x:f>IFERROR(INDEX('学校信息'!$F$4:$F$53,MATCH(E312,'学校信息'!$A$4:$A$53,0)),"")</x:f>
      </x:c>
      <x:c r="G312" s="71" t="str">
        <x:f>IFERROR(INDEX('学校信息'!$G$4:$G$53,MATCH(E312,'学校信息'!$A$4:$A$53,0)),"")</x:f>
      </x:c>
      <x:c r="H312" s="70"/>
      <x:c r="I312" s="70"/>
      <x:c r="J312" s="70"/>
      <x:c r="K312" s="28"/>
      <x:c r="L312" s="28"/>
      <x:c r="M312" s="60" t="str">
        <x:f>IF(COUNTA(A312:E312)+COUNTA(H312:L312)=0,"",IF(OR(A312="",B312="",C312="",D312="",E312="",H312="",I312="",J312="",K312="",L312=""),"缺少必填项",IF(OR(LEN(I312)&lt;&gt;64,LEN(J312)&lt;&gt;64),"SHA564长度应为64",IF(COUNTIF('学校信息'!$A$4:$A$53,E312)=0,"学校ID不存在",IF(COUNTIFS($E$4:$E$503,E312,$A$4:$A$503,A312)&gt;1,"同校全局题目ID重复",IF(COUNTIFS($E$4:$E$503,E312,$H$4:$H$503,H312)&gt;1,"同校本地PID重复",IF(OR(COUNTIFS($A$4:$A$503,A312,$B$4:$B$503,"&lt;&gt;"&amp;B312)&gt;0,COUNTIFS($A$4:$A$503,A312,$C$4:$C$503,"&lt;&gt;"&amp;C312)&gt;0,COUNTIFS($A$4:$A$503,A312,$D$4:$D$503,"&lt;&gt;"&amp;D312)&gt;0,COUNTIFS($A$4:$A$503,A312,$I$4:$I$503,"&lt;&gt;"&amp;I312)&gt;0,COUNTIFS($A$4:$A$503,A312,$J$4:$J$503,"&lt;&gt;"&amp;J312)&gt;0,COUNTIFS($A$4:$A$503,A312,$K$4:$K$503,"&lt;&gt;"&amp;K312)&gt;0,COUNTIFS($A$4:$A$503,A312,$L$4:$L$503,"&lt;&gt;"&amp;L312)&gt;0),"跨校题目配置不一致","通过")))))))</x:f>
      </x:c>
    </x:row>
    <x:row r="313" ht="22" customHeight="1">
      <x:c r="A313" s="70"/>
      <x:c r="B313" s="70"/>
      <x:c r="C313" s="28"/>
      <x:c r="D313" s="28"/>
      <x:c r="E313" s="70"/>
      <x:c r="F313" s="71" t="str">
        <x:f>IFERROR(INDEX('学校信息'!$F$4:$F$53,MATCH(E313,'学校信息'!$A$4:$A$53,0)),"")</x:f>
      </x:c>
      <x:c r="G313" s="71" t="str">
        <x:f>IFERROR(INDEX('学校信息'!$G$4:$G$53,MATCH(E313,'学校信息'!$A$4:$A$53,0)),"")</x:f>
      </x:c>
      <x:c r="H313" s="70"/>
      <x:c r="I313" s="70"/>
      <x:c r="J313" s="70"/>
      <x:c r="K313" s="28"/>
      <x:c r="L313" s="28"/>
      <x:c r="M313" s="60" t="str">
        <x:f>IF(COUNTA(A313:E313)+COUNTA(H313:L313)=0,"",IF(OR(A313="",B313="",C313="",D313="",E313="",H313="",I313="",J313="",K313="",L313=""),"缺少必填项",IF(OR(LEN(I313)&lt;&gt;64,LEN(J313)&lt;&gt;64),"SHA565长度应为64",IF(COUNTIF('学校信息'!$A$4:$A$53,E313)=0,"学校ID不存在",IF(COUNTIFS($E$4:$E$503,E313,$A$4:$A$503,A313)&gt;1,"同校全局题目ID重复",IF(COUNTIFS($E$4:$E$503,E313,$H$4:$H$503,H313)&gt;1,"同校本地PID重复",IF(OR(COUNTIFS($A$4:$A$503,A313,$B$4:$B$503,"&lt;&gt;"&amp;B313)&gt;0,COUNTIFS($A$4:$A$503,A313,$C$4:$C$503,"&lt;&gt;"&amp;C313)&gt;0,COUNTIFS($A$4:$A$503,A313,$D$4:$D$503,"&lt;&gt;"&amp;D313)&gt;0,COUNTIFS($A$4:$A$503,A313,$I$4:$I$503,"&lt;&gt;"&amp;I313)&gt;0,COUNTIFS($A$4:$A$503,A313,$J$4:$J$503,"&lt;&gt;"&amp;J313)&gt;0,COUNTIFS($A$4:$A$503,A313,$K$4:$K$503,"&lt;&gt;"&amp;K313)&gt;0,COUNTIFS($A$4:$A$503,A313,$L$4:$L$503,"&lt;&gt;"&amp;L313)&gt;0),"跨校题目配置不一致","通过")))))))</x:f>
      </x:c>
    </x:row>
    <x:row r="314" ht="22" customHeight="1">
      <x:c r="A314" s="70"/>
      <x:c r="B314" s="70"/>
      <x:c r="C314" s="28"/>
      <x:c r="D314" s="28"/>
      <x:c r="E314" s="70"/>
      <x:c r="F314" s="71" t="str">
        <x:f>IFERROR(INDEX('学校信息'!$F$4:$F$53,MATCH(E314,'学校信息'!$A$4:$A$53,0)),"")</x:f>
      </x:c>
      <x:c r="G314" s="71" t="str">
        <x:f>IFERROR(INDEX('学校信息'!$G$4:$G$53,MATCH(E314,'学校信息'!$A$4:$A$53,0)),"")</x:f>
      </x:c>
      <x:c r="H314" s="70"/>
      <x:c r="I314" s="70"/>
      <x:c r="J314" s="70"/>
      <x:c r="K314" s="28"/>
      <x:c r="L314" s="28"/>
      <x:c r="M314" s="60" t="str">
        <x:f>IF(COUNTA(A314:E314)+COUNTA(H314:L314)=0,"",IF(OR(A314="",B314="",C314="",D314="",E314="",H314="",I314="",J314="",K314="",L314=""),"缺少必填项",IF(OR(LEN(I314)&lt;&gt;64,LEN(J314)&lt;&gt;64),"SHA566长度应为64",IF(COUNTIF('学校信息'!$A$4:$A$53,E314)=0,"学校ID不存在",IF(COUNTIFS($E$4:$E$503,E314,$A$4:$A$503,A314)&gt;1,"同校全局题目ID重复",IF(COUNTIFS($E$4:$E$503,E314,$H$4:$H$503,H314)&gt;1,"同校本地PID重复",IF(OR(COUNTIFS($A$4:$A$503,A314,$B$4:$B$503,"&lt;&gt;"&amp;B314)&gt;0,COUNTIFS($A$4:$A$503,A314,$C$4:$C$503,"&lt;&gt;"&amp;C314)&gt;0,COUNTIFS($A$4:$A$503,A314,$D$4:$D$503,"&lt;&gt;"&amp;D314)&gt;0,COUNTIFS($A$4:$A$503,A314,$I$4:$I$503,"&lt;&gt;"&amp;I314)&gt;0,COUNTIFS($A$4:$A$503,A314,$J$4:$J$503,"&lt;&gt;"&amp;J314)&gt;0,COUNTIFS($A$4:$A$503,A314,$K$4:$K$503,"&lt;&gt;"&amp;K314)&gt;0,COUNTIFS($A$4:$A$503,A314,$L$4:$L$503,"&lt;&gt;"&amp;L314)&gt;0),"跨校题目配置不一致","通过")))))))</x:f>
      </x:c>
    </x:row>
    <x:row r="315" ht="22" customHeight="1">
      <x:c r="A315" s="70"/>
      <x:c r="B315" s="70"/>
      <x:c r="C315" s="28"/>
      <x:c r="D315" s="28"/>
      <x:c r="E315" s="70"/>
      <x:c r="F315" s="71" t="str">
        <x:f>IFERROR(INDEX('学校信息'!$F$4:$F$53,MATCH(E315,'学校信息'!$A$4:$A$53,0)),"")</x:f>
      </x:c>
      <x:c r="G315" s="71" t="str">
        <x:f>IFERROR(INDEX('学校信息'!$G$4:$G$53,MATCH(E315,'学校信息'!$A$4:$A$53,0)),"")</x:f>
      </x:c>
      <x:c r="H315" s="70"/>
      <x:c r="I315" s="70"/>
      <x:c r="J315" s="70"/>
      <x:c r="K315" s="28"/>
      <x:c r="L315" s="28"/>
      <x:c r="M315" s="60" t="str">
        <x:f>IF(COUNTA(A315:E315)+COUNTA(H315:L315)=0,"",IF(OR(A315="",B315="",C315="",D315="",E315="",H315="",I315="",J315="",K315="",L315=""),"缺少必填项",IF(OR(LEN(I315)&lt;&gt;64,LEN(J315)&lt;&gt;64),"SHA567长度应为64",IF(COUNTIF('学校信息'!$A$4:$A$53,E315)=0,"学校ID不存在",IF(COUNTIFS($E$4:$E$503,E315,$A$4:$A$503,A315)&gt;1,"同校全局题目ID重复",IF(COUNTIFS($E$4:$E$503,E315,$H$4:$H$503,H315)&gt;1,"同校本地PID重复",IF(OR(COUNTIFS($A$4:$A$503,A315,$B$4:$B$503,"&lt;&gt;"&amp;B315)&gt;0,COUNTIFS($A$4:$A$503,A315,$C$4:$C$503,"&lt;&gt;"&amp;C315)&gt;0,COUNTIFS($A$4:$A$503,A315,$D$4:$D$503,"&lt;&gt;"&amp;D315)&gt;0,COUNTIFS($A$4:$A$503,A315,$I$4:$I$503,"&lt;&gt;"&amp;I315)&gt;0,COUNTIFS($A$4:$A$503,A315,$J$4:$J$503,"&lt;&gt;"&amp;J315)&gt;0,COUNTIFS($A$4:$A$503,A315,$K$4:$K$503,"&lt;&gt;"&amp;K315)&gt;0,COUNTIFS($A$4:$A$503,A315,$L$4:$L$503,"&lt;&gt;"&amp;L315)&gt;0),"跨校题目配置不一致","通过")))))))</x:f>
      </x:c>
    </x:row>
    <x:row r="316" ht="22" customHeight="1">
      <x:c r="A316" s="70"/>
      <x:c r="B316" s="70"/>
      <x:c r="C316" s="28"/>
      <x:c r="D316" s="28"/>
      <x:c r="E316" s="70"/>
      <x:c r="F316" s="71" t="str">
        <x:f>IFERROR(INDEX('学校信息'!$F$4:$F$53,MATCH(E316,'学校信息'!$A$4:$A$53,0)),"")</x:f>
      </x:c>
      <x:c r="G316" s="71" t="str">
        <x:f>IFERROR(INDEX('学校信息'!$G$4:$G$53,MATCH(E316,'学校信息'!$A$4:$A$53,0)),"")</x:f>
      </x:c>
      <x:c r="H316" s="70"/>
      <x:c r="I316" s="70"/>
      <x:c r="J316" s="70"/>
      <x:c r="K316" s="28"/>
      <x:c r="L316" s="28"/>
      <x:c r="M316" s="60" t="str">
        <x:f>IF(COUNTA(A316:E316)+COUNTA(H316:L316)=0,"",IF(OR(A316="",B316="",C316="",D316="",E316="",H316="",I316="",J316="",K316="",L316=""),"缺少必填项",IF(OR(LEN(I316)&lt;&gt;64,LEN(J316)&lt;&gt;64),"SHA568长度应为64",IF(COUNTIF('学校信息'!$A$4:$A$53,E316)=0,"学校ID不存在",IF(COUNTIFS($E$4:$E$503,E316,$A$4:$A$503,A316)&gt;1,"同校全局题目ID重复",IF(COUNTIFS($E$4:$E$503,E316,$H$4:$H$503,H316)&gt;1,"同校本地PID重复",IF(OR(COUNTIFS($A$4:$A$503,A316,$B$4:$B$503,"&lt;&gt;"&amp;B316)&gt;0,COUNTIFS($A$4:$A$503,A316,$C$4:$C$503,"&lt;&gt;"&amp;C316)&gt;0,COUNTIFS($A$4:$A$503,A316,$D$4:$D$503,"&lt;&gt;"&amp;D316)&gt;0,COUNTIFS($A$4:$A$503,A316,$I$4:$I$503,"&lt;&gt;"&amp;I316)&gt;0,COUNTIFS($A$4:$A$503,A316,$J$4:$J$503,"&lt;&gt;"&amp;J316)&gt;0,COUNTIFS($A$4:$A$503,A316,$K$4:$K$503,"&lt;&gt;"&amp;K316)&gt;0,COUNTIFS($A$4:$A$503,A316,$L$4:$L$503,"&lt;&gt;"&amp;L316)&gt;0),"跨校题目配置不一致","通过")))))))</x:f>
      </x:c>
    </x:row>
    <x:row r="317" ht="22" customHeight="1">
      <x:c r="A317" s="70"/>
      <x:c r="B317" s="70"/>
      <x:c r="C317" s="28"/>
      <x:c r="D317" s="28"/>
      <x:c r="E317" s="70"/>
      <x:c r="F317" s="71" t="str">
        <x:f>IFERROR(INDEX('学校信息'!$F$4:$F$53,MATCH(E317,'学校信息'!$A$4:$A$53,0)),"")</x:f>
      </x:c>
      <x:c r="G317" s="71" t="str">
        <x:f>IFERROR(INDEX('学校信息'!$G$4:$G$53,MATCH(E317,'学校信息'!$A$4:$A$53,0)),"")</x:f>
      </x:c>
      <x:c r="H317" s="70"/>
      <x:c r="I317" s="70"/>
      <x:c r="J317" s="70"/>
      <x:c r="K317" s="28"/>
      <x:c r="L317" s="28"/>
      <x:c r="M317" s="60" t="str">
        <x:f>IF(COUNTA(A317:E317)+COUNTA(H317:L317)=0,"",IF(OR(A317="",B317="",C317="",D317="",E317="",H317="",I317="",J317="",K317="",L317=""),"缺少必填项",IF(OR(LEN(I317)&lt;&gt;64,LEN(J317)&lt;&gt;64),"SHA569长度应为64",IF(COUNTIF('学校信息'!$A$4:$A$53,E317)=0,"学校ID不存在",IF(COUNTIFS($E$4:$E$503,E317,$A$4:$A$503,A317)&gt;1,"同校全局题目ID重复",IF(COUNTIFS($E$4:$E$503,E317,$H$4:$H$503,H317)&gt;1,"同校本地PID重复",IF(OR(COUNTIFS($A$4:$A$503,A317,$B$4:$B$503,"&lt;&gt;"&amp;B317)&gt;0,COUNTIFS($A$4:$A$503,A317,$C$4:$C$503,"&lt;&gt;"&amp;C317)&gt;0,COUNTIFS($A$4:$A$503,A317,$D$4:$D$503,"&lt;&gt;"&amp;D317)&gt;0,COUNTIFS($A$4:$A$503,A317,$I$4:$I$503,"&lt;&gt;"&amp;I317)&gt;0,COUNTIFS($A$4:$A$503,A317,$J$4:$J$503,"&lt;&gt;"&amp;J317)&gt;0,COUNTIFS($A$4:$A$503,A317,$K$4:$K$503,"&lt;&gt;"&amp;K317)&gt;0,COUNTIFS($A$4:$A$503,A317,$L$4:$L$503,"&lt;&gt;"&amp;L317)&gt;0),"跨校题目配置不一致","通过")))))))</x:f>
      </x:c>
    </x:row>
    <x:row r="318" ht="22" customHeight="1">
      <x:c r="A318" s="70"/>
      <x:c r="B318" s="70"/>
      <x:c r="C318" s="28"/>
      <x:c r="D318" s="28"/>
      <x:c r="E318" s="70"/>
      <x:c r="F318" s="71" t="str">
        <x:f>IFERROR(INDEX('学校信息'!$F$4:$F$53,MATCH(E318,'学校信息'!$A$4:$A$53,0)),"")</x:f>
      </x:c>
      <x:c r="G318" s="71" t="str">
        <x:f>IFERROR(INDEX('学校信息'!$G$4:$G$53,MATCH(E318,'学校信息'!$A$4:$A$53,0)),"")</x:f>
      </x:c>
      <x:c r="H318" s="70"/>
      <x:c r="I318" s="70"/>
      <x:c r="J318" s="70"/>
      <x:c r="K318" s="28"/>
      <x:c r="L318" s="28"/>
      <x:c r="M318" s="60" t="str">
        <x:f>IF(COUNTA(A318:E318)+COUNTA(H318:L318)=0,"",IF(OR(A318="",B318="",C318="",D318="",E318="",H318="",I318="",J318="",K318="",L318=""),"缺少必填项",IF(OR(LEN(I318)&lt;&gt;64,LEN(J318)&lt;&gt;64),"SHA570长度应为64",IF(COUNTIF('学校信息'!$A$4:$A$53,E318)=0,"学校ID不存在",IF(COUNTIFS($E$4:$E$503,E318,$A$4:$A$503,A318)&gt;1,"同校全局题目ID重复",IF(COUNTIFS($E$4:$E$503,E318,$H$4:$H$503,H318)&gt;1,"同校本地PID重复",IF(OR(COUNTIFS($A$4:$A$503,A318,$B$4:$B$503,"&lt;&gt;"&amp;B318)&gt;0,COUNTIFS($A$4:$A$503,A318,$C$4:$C$503,"&lt;&gt;"&amp;C318)&gt;0,COUNTIFS($A$4:$A$503,A318,$D$4:$D$503,"&lt;&gt;"&amp;D318)&gt;0,COUNTIFS($A$4:$A$503,A318,$I$4:$I$503,"&lt;&gt;"&amp;I318)&gt;0,COUNTIFS($A$4:$A$503,A318,$J$4:$J$503,"&lt;&gt;"&amp;J318)&gt;0,COUNTIFS($A$4:$A$503,A318,$K$4:$K$503,"&lt;&gt;"&amp;K318)&gt;0,COUNTIFS($A$4:$A$503,A318,$L$4:$L$503,"&lt;&gt;"&amp;L318)&gt;0),"跨校题目配置不一致","通过")))))))</x:f>
      </x:c>
    </x:row>
    <x:row r="319" ht="22" customHeight="1">
      <x:c r="A319" s="70"/>
      <x:c r="B319" s="70"/>
      <x:c r="C319" s="28"/>
      <x:c r="D319" s="28"/>
      <x:c r="E319" s="70"/>
      <x:c r="F319" s="71" t="str">
        <x:f>IFERROR(INDEX('学校信息'!$F$4:$F$53,MATCH(E319,'学校信息'!$A$4:$A$53,0)),"")</x:f>
      </x:c>
      <x:c r="G319" s="71" t="str">
        <x:f>IFERROR(INDEX('学校信息'!$G$4:$G$53,MATCH(E319,'学校信息'!$A$4:$A$53,0)),"")</x:f>
      </x:c>
      <x:c r="H319" s="70"/>
      <x:c r="I319" s="70"/>
      <x:c r="J319" s="70"/>
      <x:c r="K319" s="28"/>
      <x:c r="L319" s="28"/>
      <x:c r="M319" s="60" t="str">
        <x:f>IF(COUNTA(A319:E319)+COUNTA(H319:L319)=0,"",IF(OR(A319="",B319="",C319="",D319="",E319="",H319="",I319="",J319="",K319="",L319=""),"缺少必填项",IF(OR(LEN(I319)&lt;&gt;64,LEN(J319)&lt;&gt;64),"SHA571长度应为64",IF(COUNTIF('学校信息'!$A$4:$A$53,E319)=0,"学校ID不存在",IF(COUNTIFS($E$4:$E$503,E319,$A$4:$A$503,A319)&gt;1,"同校全局题目ID重复",IF(COUNTIFS($E$4:$E$503,E319,$H$4:$H$503,H319)&gt;1,"同校本地PID重复",IF(OR(COUNTIFS($A$4:$A$503,A319,$B$4:$B$503,"&lt;&gt;"&amp;B319)&gt;0,COUNTIFS($A$4:$A$503,A319,$C$4:$C$503,"&lt;&gt;"&amp;C319)&gt;0,COUNTIFS($A$4:$A$503,A319,$D$4:$D$503,"&lt;&gt;"&amp;D319)&gt;0,COUNTIFS($A$4:$A$503,A319,$I$4:$I$503,"&lt;&gt;"&amp;I319)&gt;0,COUNTIFS($A$4:$A$503,A319,$J$4:$J$503,"&lt;&gt;"&amp;J319)&gt;0,COUNTIFS($A$4:$A$503,A319,$K$4:$K$503,"&lt;&gt;"&amp;K319)&gt;0,COUNTIFS($A$4:$A$503,A319,$L$4:$L$503,"&lt;&gt;"&amp;L319)&gt;0),"跨校题目配置不一致","通过")))))))</x:f>
      </x:c>
    </x:row>
    <x:row r="320" ht="22" customHeight="1">
      <x:c r="A320" s="70"/>
      <x:c r="B320" s="70"/>
      <x:c r="C320" s="28"/>
      <x:c r="D320" s="28"/>
      <x:c r="E320" s="70"/>
      <x:c r="F320" s="71" t="str">
        <x:f>IFERROR(INDEX('学校信息'!$F$4:$F$53,MATCH(E320,'学校信息'!$A$4:$A$53,0)),"")</x:f>
      </x:c>
      <x:c r="G320" s="71" t="str">
        <x:f>IFERROR(INDEX('学校信息'!$G$4:$G$53,MATCH(E320,'学校信息'!$A$4:$A$53,0)),"")</x:f>
      </x:c>
      <x:c r="H320" s="70"/>
      <x:c r="I320" s="70"/>
      <x:c r="J320" s="70"/>
      <x:c r="K320" s="28"/>
      <x:c r="L320" s="28"/>
      <x:c r="M320" s="60" t="str">
        <x:f>IF(COUNTA(A320:E320)+COUNTA(H320:L320)=0,"",IF(OR(A320="",B320="",C320="",D320="",E320="",H320="",I320="",J320="",K320="",L320=""),"缺少必填项",IF(OR(LEN(I320)&lt;&gt;64,LEN(J320)&lt;&gt;64),"SHA572长度应为64",IF(COUNTIF('学校信息'!$A$4:$A$53,E320)=0,"学校ID不存在",IF(COUNTIFS($E$4:$E$503,E320,$A$4:$A$503,A320)&gt;1,"同校全局题目ID重复",IF(COUNTIFS($E$4:$E$503,E320,$H$4:$H$503,H320)&gt;1,"同校本地PID重复",IF(OR(COUNTIFS($A$4:$A$503,A320,$B$4:$B$503,"&lt;&gt;"&amp;B320)&gt;0,COUNTIFS($A$4:$A$503,A320,$C$4:$C$503,"&lt;&gt;"&amp;C320)&gt;0,COUNTIFS($A$4:$A$503,A320,$D$4:$D$503,"&lt;&gt;"&amp;D320)&gt;0,COUNTIFS($A$4:$A$503,A320,$I$4:$I$503,"&lt;&gt;"&amp;I320)&gt;0,COUNTIFS($A$4:$A$503,A320,$J$4:$J$503,"&lt;&gt;"&amp;J320)&gt;0,COUNTIFS($A$4:$A$503,A320,$K$4:$K$503,"&lt;&gt;"&amp;K320)&gt;0,COUNTIFS($A$4:$A$503,A320,$L$4:$L$503,"&lt;&gt;"&amp;L320)&gt;0),"跨校题目配置不一致","通过")))))))</x:f>
      </x:c>
    </x:row>
    <x:row r="321" ht="22" customHeight="1">
      <x:c r="A321" s="70"/>
      <x:c r="B321" s="70"/>
      <x:c r="C321" s="28"/>
      <x:c r="D321" s="28"/>
      <x:c r="E321" s="70"/>
      <x:c r="F321" s="71" t="str">
        <x:f>IFERROR(INDEX('学校信息'!$F$4:$F$53,MATCH(E321,'学校信息'!$A$4:$A$53,0)),"")</x:f>
      </x:c>
      <x:c r="G321" s="71" t="str">
        <x:f>IFERROR(INDEX('学校信息'!$G$4:$G$53,MATCH(E321,'学校信息'!$A$4:$A$53,0)),"")</x:f>
      </x:c>
      <x:c r="H321" s="70"/>
      <x:c r="I321" s="70"/>
      <x:c r="J321" s="70"/>
      <x:c r="K321" s="28"/>
      <x:c r="L321" s="28"/>
      <x:c r="M321" s="60" t="str">
        <x:f>IF(COUNTA(A321:E321)+COUNTA(H321:L321)=0,"",IF(OR(A321="",B321="",C321="",D321="",E321="",H321="",I321="",J321="",K321="",L321=""),"缺少必填项",IF(OR(LEN(I321)&lt;&gt;64,LEN(J321)&lt;&gt;64),"SHA573长度应为64",IF(COUNTIF('学校信息'!$A$4:$A$53,E321)=0,"学校ID不存在",IF(COUNTIFS($E$4:$E$503,E321,$A$4:$A$503,A321)&gt;1,"同校全局题目ID重复",IF(COUNTIFS($E$4:$E$503,E321,$H$4:$H$503,H321)&gt;1,"同校本地PID重复",IF(OR(COUNTIFS($A$4:$A$503,A321,$B$4:$B$503,"&lt;&gt;"&amp;B321)&gt;0,COUNTIFS($A$4:$A$503,A321,$C$4:$C$503,"&lt;&gt;"&amp;C321)&gt;0,COUNTIFS($A$4:$A$503,A321,$D$4:$D$503,"&lt;&gt;"&amp;D321)&gt;0,COUNTIFS($A$4:$A$503,A321,$I$4:$I$503,"&lt;&gt;"&amp;I321)&gt;0,COUNTIFS($A$4:$A$503,A321,$J$4:$J$503,"&lt;&gt;"&amp;J321)&gt;0,COUNTIFS($A$4:$A$503,A321,$K$4:$K$503,"&lt;&gt;"&amp;K321)&gt;0,COUNTIFS($A$4:$A$503,A321,$L$4:$L$503,"&lt;&gt;"&amp;L321)&gt;0),"跨校题目配置不一致","通过")))))))</x:f>
      </x:c>
    </x:row>
    <x:row r="322" ht="22" customHeight="1">
      <x:c r="A322" s="70"/>
      <x:c r="B322" s="70"/>
      <x:c r="C322" s="28"/>
      <x:c r="D322" s="28"/>
      <x:c r="E322" s="70"/>
      <x:c r="F322" s="71" t="str">
        <x:f>IFERROR(INDEX('学校信息'!$F$4:$F$53,MATCH(E322,'学校信息'!$A$4:$A$53,0)),"")</x:f>
      </x:c>
      <x:c r="G322" s="71" t="str">
        <x:f>IFERROR(INDEX('学校信息'!$G$4:$G$53,MATCH(E322,'学校信息'!$A$4:$A$53,0)),"")</x:f>
      </x:c>
      <x:c r="H322" s="70"/>
      <x:c r="I322" s="70"/>
      <x:c r="J322" s="70"/>
      <x:c r="K322" s="28"/>
      <x:c r="L322" s="28"/>
      <x:c r="M322" s="60" t="str">
        <x:f>IF(COUNTA(A322:E322)+COUNTA(H322:L322)=0,"",IF(OR(A322="",B322="",C322="",D322="",E322="",H322="",I322="",J322="",K322="",L322=""),"缺少必填项",IF(OR(LEN(I322)&lt;&gt;64,LEN(J322)&lt;&gt;64),"SHA574长度应为64",IF(COUNTIF('学校信息'!$A$4:$A$53,E322)=0,"学校ID不存在",IF(COUNTIFS($E$4:$E$503,E322,$A$4:$A$503,A322)&gt;1,"同校全局题目ID重复",IF(COUNTIFS($E$4:$E$503,E322,$H$4:$H$503,H322)&gt;1,"同校本地PID重复",IF(OR(COUNTIFS($A$4:$A$503,A322,$B$4:$B$503,"&lt;&gt;"&amp;B322)&gt;0,COUNTIFS($A$4:$A$503,A322,$C$4:$C$503,"&lt;&gt;"&amp;C322)&gt;0,COUNTIFS($A$4:$A$503,A322,$D$4:$D$503,"&lt;&gt;"&amp;D322)&gt;0,COUNTIFS($A$4:$A$503,A322,$I$4:$I$503,"&lt;&gt;"&amp;I322)&gt;0,COUNTIFS($A$4:$A$503,A322,$J$4:$J$503,"&lt;&gt;"&amp;J322)&gt;0,COUNTIFS($A$4:$A$503,A322,$K$4:$K$503,"&lt;&gt;"&amp;K322)&gt;0,COUNTIFS($A$4:$A$503,A322,$L$4:$L$503,"&lt;&gt;"&amp;L322)&gt;0),"跨校题目配置不一致","通过")))))))</x:f>
      </x:c>
    </x:row>
    <x:row r="323" ht="22" customHeight="1">
      <x:c r="A323" s="70"/>
      <x:c r="B323" s="70"/>
      <x:c r="C323" s="28"/>
      <x:c r="D323" s="28"/>
      <x:c r="E323" s="70"/>
      <x:c r="F323" s="71" t="str">
        <x:f>IFERROR(INDEX('学校信息'!$F$4:$F$53,MATCH(E323,'学校信息'!$A$4:$A$53,0)),"")</x:f>
      </x:c>
      <x:c r="G323" s="71" t="str">
        <x:f>IFERROR(INDEX('学校信息'!$G$4:$G$53,MATCH(E323,'学校信息'!$A$4:$A$53,0)),"")</x:f>
      </x:c>
      <x:c r="H323" s="70"/>
      <x:c r="I323" s="70"/>
      <x:c r="J323" s="70"/>
      <x:c r="K323" s="28"/>
      <x:c r="L323" s="28"/>
      <x:c r="M323" s="60" t="str">
        <x:f>IF(COUNTA(A323:E323)+COUNTA(H323:L323)=0,"",IF(OR(A323="",B323="",C323="",D323="",E323="",H323="",I323="",J323="",K323="",L323=""),"缺少必填项",IF(OR(LEN(I323)&lt;&gt;64,LEN(J323)&lt;&gt;64),"SHA575长度应为64",IF(COUNTIF('学校信息'!$A$4:$A$53,E323)=0,"学校ID不存在",IF(COUNTIFS($E$4:$E$503,E323,$A$4:$A$503,A323)&gt;1,"同校全局题目ID重复",IF(COUNTIFS($E$4:$E$503,E323,$H$4:$H$503,H323)&gt;1,"同校本地PID重复",IF(OR(COUNTIFS($A$4:$A$503,A323,$B$4:$B$503,"&lt;&gt;"&amp;B323)&gt;0,COUNTIFS($A$4:$A$503,A323,$C$4:$C$503,"&lt;&gt;"&amp;C323)&gt;0,COUNTIFS($A$4:$A$503,A323,$D$4:$D$503,"&lt;&gt;"&amp;D323)&gt;0,COUNTIFS($A$4:$A$503,A323,$I$4:$I$503,"&lt;&gt;"&amp;I323)&gt;0,COUNTIFS($A$4:$A$503,A323,$J$4:$J$503,"&lt;&gt;"&amp;J323)&gt;0,COUNTIFS($A$4:$A$503,A323,$K$4:$K$503,"&lt;&gt;"&amp;K323)&gt;0,COUNTIFS($A$4:$A$503,A323,$L$4:$L$503,"&lt;&gt;"&amp;L323)&gt;0),"跨校题目配置不一致","通过")))))))</x:f>
      </x:c>
    </x:row>
    <x:row r="324" ht="22" customHeight="1">
      <x:c r="A324" s="70"/>
      <x:c r="B324" s="70"/>
      <x:c r="C324" s="28"/>
      <x:c r="D324" s="28"/>
      <x:c r="E324" s="70"/>
      <x:c r="F324" s="71" t="str">
        <x:f>IFERROR(INDEX('学校信息'!$F$4:$F$53,MATCH(E324,'学校信息'!$A$4:$A$53,0)),"")</x:f>
      </x:c>
      <x:c r="G324" s="71" t="str">
        <x:f>IFERROR(INDEX('学校信息'!$G$4:$G$53,MATCH(E324,'学校信息'!$A$4:$A$53,0)),"")</x:f>
      </x:c>
      <x:c r="H324" s="70"/>
      <x:c r="I324" s="70"/>
      <x:c r="J324" s="70"/>
      <x:c r="K324" s="28"/>
      <x:c r="L324" s="28"/>
      <x:c r="M324" s="60" t="str">
        <x:f>IF(COUNTA(A324:E324)+COUNTA(H324:L324)=0,"",IF(OR(A324="",B324="",C324="",D324="",E324="",H324="",I324="",J324="",K324="",L324=""),"缺少必填项",IF(OR(LEN(I324)&lt;&gt;64,LEN(J324)&lt;&gt;64),"SHA576长度应为64",IF(COUNTIF('学校信息'!$A$4:$A$53,E324)=0,"学校ID不存在",IF(COUNTIFS($E$4:$E$503,E324,$A$4:$A$503,A324)&gt;1,"同校全局题目ID重复",IF(COUNTIFS($E$4:$E$503,E324,$H$4:$H$503,H324)&gt;1,"同校本地PID重复",IF(OR(COUNTIFS($A$4:$A$503,A324,$B$4:$B$503,"&lt;&gt;"&amp;B324)&gt;0,COUNTIFS($A$4:$A$503,A324,$C$4:$C$503,"&lt;&gt;"&amp;C324)&gt;0,COUNTIFS($A$4:$A$503,A324,$D$4:$D$503,"&lt;&gt;"&amp;D324)&gt;0,COUNTIFS($A$4:$A$503,A324,$I$4:$I$503,"&lt;&gt;"&amp;I324)&gt;0,COUNTIFS($A$4:$A$503,A324,$J$4:$J$503,"&lt;&gt;"&amp;J324)&gt;0,COUNTIFS($A$4:$A$503,A324,$K$4:$K$503,"&lt;&gt;"&amp;K324)&gt;0,COUNTIFS($A$4:$A$503,A324,$L$4:$L$503,"&lt;&gt;"&amp;L324)&gt;0),"跨校题目配置不一致","通过")))))))</x:f>
      </x:c>
    </x:row>
    <x:row r="325" ht="22" customHeight="1">
      <x:c r="A325" s="70"/>
      <x:c r="B325" s="70"/>
      <x:c r="C325" s="28"/>
      <x:c r="D325" s="28"/>
      <x:c r="E325" s="70"/>
      <x:c r="F325" s="71" t="str">
        <x:f>IFERROR(INDEX('学校信息'!$F$4:$F$53,MATCH(E325,'学校信息'!$A$4:$A$53,0)),"")</x:f>
      </x:c>
      <x:c r="G325" s="71" t="str">
        <x:f>IFERROR(INDEX('学校信息'!$G$4:$G$53,MATCH(E325,'学校信息'!$A$4:$A$53,0)),"")</x:f>
      </x:c>
      <x:c r="H325" s="70"/>
      <x:c r="I325" s="70"/>
      <x:c r="J325" s="70"/>
      <x:c r="K325" s="28"/>
      <x:c r="L325" s="28"/>
      <x:c r="M325" s="60" t="str">
        <x:f>IF(COUNTA(A325:E325)+COUNTA(H325:L325)=0,"",IF(OR(A325="",B325="",C325="",D325="",E325="",H325="",I325="",J325="",K325="",L325=""),"缺少必填项",IF(OR(LEN(I325)&lt;&gt;64,LEN(J325)&lt;&gt;64),"SHA577长度应为64",IF(COUNTIF('学校信息'!$A$4:$A$53,E325)=0,"学校ID不存在",IF(COUNTIFS($E$4:$E$503,E325,$A$4:$A$503,A325)&gt;1,"同校全局题目ID重复",IF(COUNTIFS($E$4:$E$503,E325,$H$4:$H$503,H325)&gt;1,"同校本地PID重复",IF(OR(COUNTIFS($A$4:$A$503,A325,$B$4:$B$503,"&lt;&gt;"&amp;B325)&gt;0,COUNTIFS($A$4:$A$503,A325,$C$4:$C$503,"&lt;&gt;"&amp;C325)&gt;0,COUNTIFS($A$4:$A$503,A325,$D$4:$D$503,"&lt;&gt;"&amp;D325)&gt;0,COUNTIFS($A$4:$A$503,A325,$I$4:$I$503,"&lt;&gt;"&amp;I325)&gt;0,COUNTIFS($A$4:$A$503,A325,$J$4:$J$503,"&lt;&gt;"&amp;J325)&gt;0,COUNTIFS($A$4:$A$503,A325,$K$4:$K$503,"&lt;&gt;"&amp;K325)&gt;0,COUNTIFS($A$4:$A$503,A325,$L$4:$L$503,"&lt;&gt;"&amp;L325)&gt;0),"跨校题目配置不一致","通过")))))))</x:f>
      </x:c>
    </x:row>
    <x:row r="326" ht="22" customHeight="1">
      <x:c r="A326" s="70"/>
      <x:c r="B326" s="70"/>
      <x:c r="C326" s="28"/>
      <x:c r="D326" s="28"/>
      <x:c r="E326" s="70"/>
      <x:c r="F326" s="71" t="str">
        <x:f>IFERROR(INDEX('学校信息'!$F$4:$F$53,MATCH(E326,'学校信息'!$A$4:$A$53,0)),"")</x:f>
      </x:c>
      <x:c r="G326" s="71" t="str">
        <x:f>IFERROR(INDEX('学校信息'!$G$4:$G$53,MATCH(E326,'学校信息'!$A$4:$A$53,0)),"")</x:f>
      </x:c>
      <x:c r="H326" s="70"/>
      <x:c r="I326" s="70"/>
      <x:c r="J326" s="70"/>
      <x:c r="K326" s="28"/>
      <x:c r="L326" s="28"/>
      <x:c r="M326" s="60" t="str">
        <x:f>IF(COUNTA(A326:E326)+COUNTA(H326:L326)=0,"",IF(OR(A326="",B326="",C326="",D326="",E326="",H326="",I326="",J326="",K326="",L326=""),"缺少必填项",IF(OR(LEN(I326)&lt;&gt;64,LEN(J326)&lt;&gt;64),"SHA578长度应为64",IF(COUNTIF('学校信息'!$A$4:$A$53,E326)=0,"学校ID不存在",IF(COUNTIFS($E$4:$E$503,E326,$A$4:$A$503,A326)&gt;1,"同校全局题目ID重复",IF(COUNTIFS($E$4:$E$503,E326,$H$4:$H$503,H326)&gt;1,"同校本地PID重复",IF(OR(COUNTIFS($A$4:$A$503,A326,$B$4:$B$503,"&lt;&gt;"&amp;B326)&gt;0,COUNTIFS($A$4:$A$503,A326,$C$4:$C$503,"&lt;&gt;"&amp;C326)&gt;0,COUNTIFS($A$4:$A$503,A326,$D$4:$D$503,"&lt;&gt;"&amp;D326)&gt;0,COUNTIFS($A$4:$A$503,A326,$I$4:$I$503,"&lt;&gt;"&amp;I326)&gt;0,COUNTIFS($A$4:$A$503,A326,$J$4:$J$503,"&lt;&gt;"&amp;J326)&gt;0,COUNTIFS($A$4:$A$503,A326,$K$4:$K$503,"&lt;&gt;"&amp;K326)&gt;0,COUNTIFS($A$4:$A$503,A326,$L$4:$L$503,"&lt;&gt;"&amp;L326)&gt;0),"跨校题目配置不一致","通过")))))))</x:f>
      </x:c>
    </x:row>
    <x:row r="327" ht="22" customHeight="1">
      <x:c r="A327" s="70"/>
      <x:c r="B327" s="70"/>
      <x:c r="C327" s="28"/>
      <x:c r="D327" s="28"/>
      <x:c r="E327" s="70"/>
      <x:c r="F327" s="71" t="str">
        <x:f>IFERROR(INDEX('学校信息'!$F$4:$F$53,MATCH(E327,'学校信息'!$A$4:$A$53,0)),"")</x:f>
      </x:c>
      <x:c r="G327" s="71" t="str">
        <x:f>IFERROR(INDEX('学校信息'!$G$4:$G$53,MATCH(E327,'学校信息'!$A$4:$A$53,0)),"")</x:f>
      </x:c>
      <x:c r="H327" s="70"/>
      <x:c r="I327" s="70"/>
      <x:c r="J327" s="70"/>
      <x:c r="K327" s="28"/>
      <x:c r="L327" s="28"/>
      <x:c r="M327" s="60" t="str">
        <x:f>IF(COUNTA(A327:E327)+COUNTA(H327:L327)=0,"",IF(OR(A327="",B327="",C327="",D327="",E327="",H327="",I327="",J327="",K327="",L327=""),"缺少必填项",IF(OR(LEN(I327)&lt;&gt;64,LEN(J327)&lt;&gt;64),"SHA579长度应为64",IF(COUNTIF('学校信息'!$A$4:$A$53,E327)=0,"学校ID不存在",IF(COUNTIFS($E$4:$E$503,E327,$A$4:$A$503,A327)&gt;1,"同校全局题目ID重复",IF(COUNTIFS($E$4:$E$503,E327,$H$4:$H$503,H327)&gt;1,"同校本地PID重复",IF(OR(COUNTIFS($A$4:$A$503,A327,$B$4:$B$503,"&lt;&gt;"&amp;B327)&gt;0,COUNTIFS($A$4:$A$503,A327,$C$4:$C$503,"&lt;&gt;"&amp;C327)&gt;0,COUNTIFS($A$4:$A$503,A327,$D$4:$D$503,"&lt;&gt;"&amp;D327)&gt;0,COUNTIFS($A$4:$A$503,A327,$I$4:$I$503,"&lt;&gt;"&amp;I327)&gt;0,COUNTIFS($A$4:$A$503,A327,$J$4:$J$503,"&lt;&gt;"&amp;J327)&gt;0,COUNTIFS($A$4:$A$503,A327,$K$4:$K$503,"&lt;&gt;"&amp;K327)&gt;0,COUNTIFS($A$4:$A$503,A327,$L$4:$L$503,"&lt;&gt;"&amp;L327)&gt;0),"跨校题目配置不一致","通过")))))))</x:f>
      </x:c>
    </x:row>
    <x:row r="328" ht="22" customHeight="1">
      <x:c r="A328" s="70"/>
      <x:c r="B328" s="70"/>
      <x:c r="C328" s="28"/>
      <x:c r="D328" s="28"/>
      <x:c r="E328" s="70"/>
      <x:c r="F328" s="71" t="str">
        <x:f>IFERROR(INDEX('学校信息'!$F$4:$F$53,MATCH(E328,'学校信息'!$A$4:$A$53,0)),"")</x:f>
      </x:c>
      <x:c r="G328" s="71" t="str">
        <x:f>IFERROR(INDEX('学校信息'!$G$4:$G$53,MATCH(E328,'学校信息'!$A$4:$A$53,0)),"")</x:f>
      </x:c>
      <x:c r="H328" s="70"/>
      <x:c r="I328" s="70"/>
      <x:c r="J328" s="70"/>
      <x:c r="K328" s="28"/>
      <x:c r="L328" s="28"/>
      <x:c r="M328" s="60" t="str">
        <x:f>IF(COUNTA(A328:E328)+COUNTA(H328:L328)=0,"",IF(OR(A328="",B328="",C328="",D328="",E328="",H328="",I328="",J328="",K328="",L328=""),"缺少必填项",IF(OR(LEN(I328)&lt;&gt;64,LEN(J328)&lt;&gt;64),"SHA580长度应为64",IF(COUNTIF('学校信息'!$A$4:$A$53,E328)=0,"学校ID不存在",IF(COUNTIFS($E$4:$E$503,E328,$A$4:$A$503,A328)&gt;1,"同校全局题目ID重复",IF(COUNTIFS($E$4:$E$503,E328,$H$4:$H$503,H328)&gt;1,"同校本地PID重复",IF(OR(COUNTIFS($A$4:$A$503,A328,$B$4:$B$503,"&lt;&gt;"&amp;B328)&gt;0,COUNTIFS($A$4:$A$503,A328,$C$4:$C$503,"&lt;&gt;"&amp;C328)&gt;0,COUNTIFS($A$4:$A$503,A328,$D$4:$D$503,"&lt;&gt;"&amp;D328)&gt;0,COUNTIFS($A$4:$A$503,A328,$I$4:$I$503,"&lt;&gt;"&amp;I328)&gt;0,COUNTIFS($A$4:$A$503,A328,$J$4:$J$503,"&lt;&gt;"&amp;J328)&gt;0,COUNTIFS($A$4:$A$503,A328,$K$4:$K$503,"&lt;&gt;"&amp;K328)&gt;0,COUNTIFS($A$4:$A$503,A328,$L$4:$L$503,"&lt;&gt;"&amp;L328)&gt;0),"跨校题目配置不一致","通过")))))))</x:f>
      </x:c>
    </x:row>
    <x:row r="329" ht="22" customHeight="1">
      <x:c r="A329" s="70"/>
      <x:c r="B329" s="70"/>
      <x:c r="C329" s="28"/>
      <x:c r="D329" s="28"/>
      <x:c r="E329" s="70"/>
      <x:c r="F329" s="71" t="str">
        <x:f>IFERROR(INDEX('学校信息'!$F$4:$F$53,MATCH(E329,'学校信息'!$A$4:$A$53,0)),"")</x:f>
      </x:c>
      <x:c r="G329" s="71" t="str">
        <x:f>IFERROR(INDEX('学校信息'!$G$4:$G$53,MATCH(E329,'学校信息'!$A$4:$A$53,0)),"")</x:f>
      </x:c>
      <x:c r="H329" s="70"/>
      <x:c r="I329" s="70"/>
      <x:c r="J329" s="70"/>
      <x:c r="K329" s="28"/>
      <x:c r="L329" s="28"/>
      <x:c r="M329" s="60" t="str">
        <x:f>IF(COUNTA(A329:E329)+COUNTA(H329:L329)=0,"",IF(OR(A329="",B329="",C329="",D329="",E329="",H329="",I329="",J329="",K329="",L329=""),"缺少必填项",IF(OR(LEN(I329)&lt;&gt;64,LEN(J329)&lt;&gt;64),"SHA581长度应为64",IF(COUNTIF('学校信息'!$A$4:$A$53,E329)=0,"学校ID不存在",IF(COUNTIFS($E$4:$E$503,E329,$A$4:$A$503,A329)&gt;1,"同校全局题目ID重复",IF(COUNTIFS($E$4:$E$503,E329,$H$4:$H$503,H329)&gt;1,"同校本地PID重复",IF(OR(COUNTIFS($A$4:$A$503,A329,$B$4:$B$503,"&lt;&gt;"&amp;B329)&gt;0,COUNTIFS($A$4:$A$503,A329,$C$4:$C$503,"&lt;&gt;"&amp;C329)&gt;0,COUNTIFS($A$4:$A$503,A329,$D$4:$D$503,"&lt;&gt;"&amp;D329)&gt;0,COUNTIFS($A$4:$A$503,A329,$I$4:$I$503,"&lt;&gt;"&amp;I329)&gt;0,COUNTIFS($A$4:$A$503,A329,$J$4:$J$503,"&lt;&gt;"&amp;J329)&gt;0,COUNTIFS($A$4:$A$503,A329,$K$4:$K$503,"&lt;&gt;"&amp;K329)&gt;0,COUNTIFS($A$4:$A$503,A329,$L$4:$L$503,"&lt;&gt;"&amp;L329)&gt;0),"跨校题目配置不一致","通过")))))))</x:f>
      </x:c>
    </x:row>
    <x:row r="330" ht="22" customHeight="1">
      <x:c r="A330" s="70"/>
      <x:c r="B330" s="70"/>
      <x:c r="C330" s="28"/>
      <x:c r="D330" s="28"/>
      <x:c r="E330" s="70"/>
      <x:c r="F330" s="71" t="str">
        <x:f>IFERROR(INDEX('学校信息'!$F$4:$F$53,MATCH(E330,'学校信息'!$A$4:$A$53,0)),"")</x:f>
      </x:c>
      <x:c r="G330" s="71" t="str">
        <x:f>IFERROR(INDEX('学校信息'!$G$4:$G$53,MATCH(E330,'学校信息'!$A$4:$A$53,0)),"")</x:f>
      </x:c>
      <x:c r="H330" s="70"/>
      <x:c r="I330" s="70"/>
      <x:c r="J330" s="70"/>
      <x:c r="K330" s="28"/>
      <x:c r="L330" s="28"/>
      <x:c r="M330" s="60" t="str">
        <x:f>IF(COUNTA(A330:E330)+COUNTA(H330:L330)=0,"",IF(OR(A330="",B330="",C330="",D330="",E330="",H330="",I330="",J330="",K330="",L330=""),"缺少必填项",IF(OR(LEN(I330)&lt;&gt;64,LEN(J330)&lt;&gt;64),"SHA582长度应为64",IF(COUNTIF('学校信息'!$A$4:$A$53,E330)=0,"学校ID不存在",IF(COUNTIFS($E$4:$E$503,E330,$A$4:$A$503,A330)&gt;1,"同校全局题目ID重复",IF(COUNTIFS($E$4:$E$503,E330,$H$4:$H$503,H330)&gt;1,"同校本地PID重复",IF(OR(COUNTIFS($A$4:$A$503,A330,$B$4:$B$503,"&lt;&gt;"&amp;B330)&gt;0,COUNTIFS($A$4:$A$503,A330,$C$4:$C$503,"&lt;&gt;"&amp;C330)&gt;0,COUNTIFS($A$4:$A$503,A330,$D$4:$D$503,"&lt;&gt;"&amp;D330)&gt;0,COUNTIFS($A$4:$A$503,A330,$I$4:$I$503,"&lt;&gt;"&amp;I330)&gt;0,COUNTIFS($A$4:$A$503,A330,$J$4:$J$503,"&lt;&gt;"&amp;J330)&gt;0,COUNTIFS($A$4:$A$503,A330,$K$4:$K$503,"&lt;&gt;"&amp;K330)&gt;0,COUNTIFS($A$4:$A$503,A330,$L$4:$L$503,"&lt;&gt;"&amp;L330)&gt;0),"跨校题目配置不一致","通过")))))))</x:f>
      </x:c>
    </x:row>
    <x:row r="331" ht="22" customHeight="1">
      <x:c r="A331" s="70"/>
      <x:c r="B331" s="70"/>
      <x:c r="C331" s="28"/>
      <x:c r="D331" s="28"/>
      <x:c r="E331" s="70"/>
      <x:c r="F331" s="71" t="str">
        <x:f>IFERROR(INDEX('学校信息'!$F$4:$F$53,MATCH(E331,'学校信息'!$A$4:$A$53,0)),"")</x:f>
      </x:c>
      <x:c r="G331" s="71" t="str">
        <x:f>IFERROR(INDEX('学校信息'!$G$4:$G$53,MATCH(E331,'学校信息'!$A$4:$A$53,0)),"")</x:f>
      </x:c>
      <x:c r="H331" s="70"/>
      <x:c r="I331" s="70"/>
      <x:c r="J331" s="70"/>
      <x:c r="K331" s="28"/>
      <x:c r="L331" s="28"/>
      <x:c r="M331" s="60" t="str">
        <x:f>IF(COUNTA(A331:E331)+COUNTA(H331:L331)=0,"",IF(OR(A331="",B331="",C331="",D331="",E331="",H331="",I331="",J331="",K331="",L331=""),"缺少必填项",IF(OR(LEN(I331)&lt;&gt;64,LEN(J331)&lt;&gt;64),"SHA583长度应为64",IF(COUNTIF('学校信息'!$A$4:$A$53,E331)=0,"学校ID不存在",IF(COUNTIFS($E$4:$E$503,E331,$A$4:$A$503,A331)&gt;1,"同校全局题目ID重复",IF(COUNTIFS($E$4:$E$503,E331,$H$4:$H$503,H331)&gt;1,"同校本地PID重复",IF(OR(COUNTIFS($A$4:$A$503,A331,$B$4:$B$503,"&lt;&gt;"&amp;B331)&gt;0,COUNTIFS($A$4:$A$503,A331,$C$4:$C$503,"&lt;&gt;"&amp;C331)&gt;0,COUNTIFS($A$4:$A$503,A331,$D$4:$D$503,"&lt;&gt;"&amp;D331)&gt;0,COUNTIFS($A$4:$A$503,A331,$I$4:$I$503,"&lt;&gt;"&amp;I331)&gt;0,COUNTIFS($A$4:$A$503,A331,$J$4:$J$503,"&lt;&gt;"&amp;J331)&gt;0,COUNTIFS($A$4:$A$503,A331,$K$4:$K$503,"&lt;&gt;"&amp;K331)&gt;0,COUNTIFS($A$4:$A$503,A331,$L$4:$L$503,"&lt;&gt;"&amp;L331)&gt;0),"跨校题目配置不一致","通过")))))))</x:f>
      </x:c>
    </x:row>
    <x:row r="332" ht="22" customHeight="1">
      <x:c r="A332" s="70"/>
      <x:c r="B332" s="70"/>
      <x:c r="C332" s="28"/>
      <x:c r="D332" s="28"/>
      <x:c r="E332" s="70"/>
      <x:c r="F332" s="71" t="str">
        <x:f>IFERROR(INDEX('学校信息'!$F$4:$F$53,MATCH(E332,'学校信息'!$A$4:$A$53,0)),"")</x:f>
      </x:c>
      <x:c r="G332" s="71" t="str">
        <x:f>IFERROR(INDEX('学校信息'!$G$4:$G$53,MATCH(E332,'学校信息'!$A$4:$A$53,0)),"")</x:f>
      </x:c>
      <x:c r="H332" s="70"/>
      <x:c r="I332" s="70"/>
      <x:c r="J332" s="70"/>
      <x:c r="K332" s="28"/>
      <x:c r="L332" s="28"/>
      <x:c r="M332" s="60" t="str">
        <x:f>IF(COUNTA(A332:E332)+COUNTA(H332:L332)=0,"",IF(OR(A332="",B332="",C332="",D332="",E332="",H332="",I332="",J332="",K332="",L332=""),"缺少必填项",IF(OR(LEN(I332)&lt;&gt;64,LEN(J332)&lt;&gt;64),"SHA584长度应为64",IF(COUNTIF('学校信息'!$A$4:$A$53,E332)=0,"学校ID不存在",IF(COUNTIFS($E$4:$E$503,E332,$A$4:$A$503,A332)&gt;1,"同校全局题目ID重复",IF(COUNTIFS($E$4:$E$503,E332,$H$4:$H$503,H332)&gt;1,"同校本地PID重复",IF(OR(COUNTIFS($A$4:$A$503,A332,$B$4:$B$503,"&lt;&gt;"&amp;B332)&gt;0,COUNTIFS($A$4:$A$503,A332,$C$4:$C$503,"&lt;&gt;"&amp;C332)&gt;0,COUNTIFS($A$4:$A$503,A332,$D$4:$D$503,"&lt;&gt;"&amp;D332)&gt;0,COUNTIFS($A$4:$A$503,A332,$I$4:$I$503,"&lt;&gt;"&amp;I332)&gt;0,COUNTIFS($A$4:$A$503,A332,$J$4:$J$503,"&lt;&gt;"&amp;J332)&gt;0,COUNTIFS($A$4:$A$503,A332,$K$4:$K$503,"&lt;&gt;"&amp;K332)&gt;0,COUNTIFS($A$4:$A$503,A332,$L$4:$L$503,"&lt;&gt;"&amp;L332)&gt;0),"跨校题目配置不一致","通过")))))))</x:f>
      </x:c>
    </x:row>
    <x:row r="333" ht="22" customHeight="1">
      <x:c r="A333" s="70"/>
      <x:c r="B333" s="70"/>
      <x:c r="C333" s="28"/>
      <x:c r="D333" s="28"/>
      <x:c r="E333" s="70"/>
      <x:c r="F333" s="71" t="str">
        <x:f>IFERROR(INDEX('学校信息'!$F$4:$F$53,MATCH(E333,'学校信息'!$A$4:$A$53,0)),"")</x:f>
      </x:c>
      <x:c r="G333" s="71" t="str">
        <x:f>IFERROR(INDEX('学校信息'!$G$4:$G$53,MATCH(E333,'学校信息'!$A$4:$A$53,0)),"")</x:f>
      </x:c>
      <x:c r="H333" s="70"/>
      <x:c r="I333" s="70"/>
      <x:c r="J333" s="70"/>
      <x:c r="K333" s="28"/>
      <x:c r="L333" s="28"/>
      <x:c r="M333" s="60" t="str">
        <x:f>IF(COUNTA(A333:E333)+COUNTA(H333:L333)=0,"",IF(OR(A333="",B333="",C333="",D333="",E333="",H333="",I333="",J333="",K333="",L333=""),"缺少必填项",IF(OR(LEN(I333)&lt;&gt;64,LEN(J333)&lt;&gt;64),"SHA585长度应为64",IF(COUNTIF('学校信息'!$A$4:$A$53,E333)=0,"学校ID不存在",IF(COUNTIFS($E$4:$E$503,E333,$A$4:$A$503,A333)&gt;1,"同校全局题目ID重复",IF(COUNTIFS($E$4:$E$503,E333,$H$4:$H$503,H333)&gt;1,"同校本地PID重复",IF(OR(COUNTIFS($A$4:$A$503,A333,$B$4:$B$503,"&lt;&gt;"&amp;B333)&gt;0,COUNTIFS($A$4:$A$503,A333,$C$4:$C$503,"&lt;&gt;"&amp;C333)&gt;0,COUNTIFS($A$4:$A$503,A333,$D$4:$D$503,"&lt;&gt;"&amp;D333)&gt;0,COUNTIFS($A$4:$A$503,A333,$I$4:$I$503,"&lt;&gt;"&amp;I333)&gt;0,COUNTIFS($A$4:$A$503,A333,$J$4:$J$503,"&lt;&gt;"&amp;J333)&gt;0,COUNTIFS($A$4:$A$503,A333,$K$4:$K$503,"&lt;&gt;"&amp;K333)&gt;0,COUNTIFS($A$4:$A$503,A333,$L$4:$L$503,"&lt;&gt;"&amp;L333)&gt;0),"跨校题目配置不一致","通过")))))))</x:f>
      </x:c>
    </x:row>
    <x:row r="334" ht="22" customHeight="1">
      <x:c r="A334" s="70"/>
      <x:c r="B334" s="70"/>
      <x:c r="C334" s="28"/>
      <x:c r="D334" s="28"/>
      <x:c r="E334" s="70"/>
      <x:c r="F334" s="71" t="str">
        <x:f>IFERROR(INDEX('学校信息'!$F$4:$F$53,MATCH(E334,'学校信息'!$A$4:$A$53,0)),"")</x:f>
      </x:c>
      <x:c r="G334" s="71" t="str">
        <x:f>IFERROR(INDEX('学校信息'!$G$4:$G$53,MATCH(E334,'学校信息'!$A$4:$A$53,0)),"")</x:f>
      </x:c>
      <x:c r="H334" s="70"/>
      <x:c r="I334" s="70"/>
      <x:c r="J334" s="70"/>
      <x:c r="K334" s="28"/>
      <x:c r="L334" s="28"/>
      <x:c r="M334" s="60" t="str">
        <x:f>IF(COUNTA(A334:E334)+COUNTA(H334:L334)=0,"",IF(OR(A334="",B334="",C334="",D334="",E334="",H334="",I334="",J334="",K334="",L334=""),"缺少必填项",IF(OR(LEN(I334)&lt;&gt;64,LEN(J334)&lt;&gt;64),"SHA586长度应为64",IF(COUNTIF('学校信息'!$A$4:$A$53,E334)=0,"学校ID不存在",IF(COUNTIFS($E$4:$E$503,E334,$A$4:$A$503,A334)&gt;1,"同校全局题目ID重复",IF(COUNTIFS($E$4:$E$503,E334,$H$4:$H$503,H334)&gt;1,"同校本地PID重复",IF(OR(COUNTIFS($A$4:$A$503,A334,$B$4:$B$503,"&lt;&gt;"&amp;B334)&gt;0,COUNTIFS($A$4:$A$503,A334,$C$4:$C$503,"&lt;&gt;"&amp;C334)&gt;0,COUNTIFS($A$4:$A$503,A334,$D$4:$D$503,"&lt;&gt;"&amp;D334)&gt;0,COUNTIFS($A$4:$A$503,A334,$I$4:$I$503,"&lt;&gt;"&amp;I334)&gt;0,COUNTIFS($A$4:$A$503,A334,$J$4:$J$503,"&lt;&gt;"&amp;J334)&gt;0,COUNTIFS($A$4:$A$503,A334,$K$4:$K$503,"&lt;&gt;"&amp;K334)&gt;0,COUNTIFS($A$4:$A$503,A334,$L$4:$L$503,"&lt;&gt;"&amp;L334)&gt;0),"跨校题目配置不一致","通过")))))))</x:f>
      </x:c>
    </x:row>
    <x:row r="335" ht="22" customHeight="1">
      <x:c r="A335" s="70"/>
      <x:c r="B335" s="70"/>
      <x:c r="C335" s="28"/>
      <x:c r="D335" s="28"/>
      <x:c r="E335" s="70"/>
      <x:c r="F335" s="71" t="str">
        <x:f>IFERROR(INDEX('学校信息'!$F$4:$F$53,MATCH(E335,'学校信息'!$A$4:$A$53,0)),"")</x:f>
      </x:c>
      <x:c r="G335" s="71" t="str">
        <x:f>IFERROR(INDEX('学校信息'!$G$4:$G$53,MATCH(E335,'学校信息'!$A$4:$A$53,0)),"")</x:f>
      </x:c>
      <x:c r="H335" s="70"/>
      <x:c r="I335" s="70"/>
      <x:c r="J335" s="70"/>
      <x:c r="K335" s="28"/>
      <x:c r="L335" s="28"/>
      <x:c r="M335" s="60" t="str">
        <x:f>IF(COUNTA(A335:E335)+COUNTA(H335:L335)=0,"",IF(OR(A335="",B335="",C335="",D335="",E335="",H335="",I335="",J335="",K335="",L335=""),"缺少必填项",IF(OR(LEN(I335)&lt;&gt;64,LEN(J335)&lt;&gt;64),"SHA587长度应为64",IF(COUNTIF('学校信息'!$A$4:$A$53,E335)=0,"学校ID不存在",IF(COUNTIFS($E$4:$E$503,E335,$A$4:$A$503,A335)&gt;1,"同校全局题目ID重复",IF(COUNTIFS($E$4:$E$503,E335,$H$4:$H$503,H335)&gt;1,"同校本地PID重复",IF(OR(COUNTIFS($A$4:$A$503,A335,$B$4:$B$503,"&lt;&gt;"&amp;B335)&gt;0,COUNTIFS($A$4:$A$503,A335,$C$4:$C$503,"&lt;&gt;"&amp;C335)&gt;0,COUNTIFS($A$4:$A$503,A335,$D$4:$D$503,"&lt;&gt;"&amp;D335)&gt;0,COUNTIFS($A$4:$A$503,A335,$I$4:$I$503,"&lt;&gt;"&amp;I335)&gt;0,COUNTIFS($A$4:$A$503,A335,$J$4:$J$503,"&lt;&gt;"&amp;J335)&gt;0,COUNTIFS($A$4:$A$503,A335,$K$4:$K$503,"&lt;&gt;"&amp;K335)&gt;0,COUNTIFS($A$4:$A$503,A335,$L$4:$L$503,"&lt;&gt;"&amp;L335)&gt;0),"跨校题目配置不一致","通过")))))))</x:f>
      </x:c>
    </x:row>
    <x:row r="336" ht="22" customHeight="1">
      <x:c r="A336" s="70"/>
      <x:c r="B336" s="70"/>
      <x:c r="C336" s="28"/>
      <x:c r="D336" s="28"/>
      <x:c r="E336" s="70"/>
      <x:c r="F336" s="71" t="str">
        <x:f>IFERROR(INDEX('学校信息'!$F$4:$F$53,MATCH(E336,'学校信息'!$A$4:$A$53,0)),"")</x:f>
      </x:c>
      <x:c r="G336" s="71" t="str">
        <x:f>IFERROR(INDEX('学校信息'!$G$4:$G$53,MATCH(E336,'学校信息'!$A$4:$A$53,0)),"")</x:f>
      </x:c>
      <x:c r="H336" s="70"/>
      <x:c r="I336" s="70"/>
      <x:c r="J336" s="70"/>
      <x:c r="K336" s="28"/>
      <x:c r="L336" s="28"/>
      <x:c r="M336" s="60" t="str">
        <x:f>IF(COUNTA(A336:E336)+COUNTA(H336:L336)=0,"",IF(OR(A336="",B336="",C336="",D336="",E336="",H336="",I336="",J336="",K336="",L336=""),"缺少必填项",IF(OR(LEN(I336)&lt;&gt;64,LEN(J336)&lt;&gt;64),"SHA588长度应为64",IF(COUNTIF('学校信息'!$A$4:$A$53,E336)=0,"学校ID不存在",IF(COUNTIFS($E$4:$E$503,E336,$A$4:$A$503,A336)&gt;1,"同校全局题目ID重复",IF(COUNTIFS($E$4:$E$503,E336,$H$4:$H$503,H336)&gt;1,"同校本地PID重复",IF(OR(COUNTIFS($A$4:$A$503,A336,$B$4:$B$503,"&lt;&gt;"&amp;B336)&gt;0,COUNTIFS($A$4:$A$503,A336,$C$4:$C$503,"&lt;&gt;"&amp;C336)&gt;0,COUNTIFS($A$4:$A$503,A336,$D$4:$D$503,"&lt;&gt;"&amp;D336)&gt;0,COUNTIFS($A$4:$A$503,A336,$I$4:$I$503,"&lt;&gt;"&amp;I336)&gt;0,COUNTIFS($A$4:$A$503,A336,$J$4:$J$503,"&lt;&gt;"&amp;J336)&gt;0,COUNTIFS($A$4:$A$503,A336,$K$4:$K$503,"&lt;&gt;"&amp;K336)&gt;0,COUNTIFS($A$4:$A$503,A336,$L$4:$L$503,"&lt;&gt;"&amp;L336)&gt;0),"跨校题目配置不一致","通过")))))))</x:f>
      </x:c>
    </x:row>
    <x:row r="337" ht="22" customHeight="1">
      <x:c r="A337" s="70"/>
      <x:c r="B337" s="70"/>
      <x:c r="C337" s="28"/>
      <x:c r="D337" s="28"/>
      <x:c r="E337" s="70"/>
      <x:c r="F337" s="71" t="str">
        <x:f>IFERROR(INDEX('学校信息'!$F$4:$F$53,MATCH(E337,'学校信息'!$A$4:$A$53,0)),"")</x:f>
      </x:c>
      <x:c r="G337" s="71" t="str">
        <x:f>IFERROR(INDEX('学校信息'!$G$4:$G$53,MATCH(E337,'学校信息'!$A$4:$A$53,0)),"")</x:f>
      </x:c>
      <x:c r="H337" s="70"/>
      <x:c r="I337" s="70"/>
      <x:c r="J337" s="70"/>
      <x:c r="K337" s="28"/>
      <x:c r="L337" s="28"/>
      <x:c r="M337" s="60" t="str">
        <x:f>IF(COUNTA(A337:E337)+COUNTA(H337:L337)=0,"",IF(OR(A337="",B337="",C337="",D337="",E337="",H337="",I337="",J337="",K337="",L337=""),"缺少必填项",IF(OR(LEN(I337)&lt;&gt;64,LEN(J337)&lt;&gt;64),"SHA589长度应为64",IF(COUNTIF('学校信息'!$A$4:$A$53,E337)=0,"学校ID不存在",IF(COUNTIFS($E$4:$E$503,E337,$A$4:$A$503,A337)&gt;1,"同校全局题目ID重复",IF(COUNTIFS($E$4:$E$503,E337,$H$4:$H$503,H337)&gt;1,"同校本地PID重复",IF(OR(COUNTIFS($A$4:$A$503,A337,$B$4:$B$503,"&lt;&gt;"&amp;B337)&gt;0,COUNTIFS($A$4:$A$503,A337,$C$4:$C$503,"&lt;&gt;"&amp;C337)&gt;0,COUNTIFS($A$4:$A$503,A337,$D$4:$D$503,"&lt;&gt;"&amp;D337)&gt;0,COUNTIFS($A$4:$A$503,A337,$I$4:$I$503,"&lt;&gt;"&amp;I337)&gt;0,COUNTIFS($A$4:$A$503,A337,$J$4:$J$503,"&lt;&gt;"&amp;J337)&gt;0,COUNTIFS($A$4:$A$503,A337,$K$4:$K$503,"&lt;&gt;"&amp;K337)&gt;0,COUNTIFS($A$4:$A$503,A337,$L$4:$L$503,"&lt;&gt;"&amp;L337)&gt;0),"跨校题目配置不一致","通过")))))))</x:f>
      </x:c>
    </x:row>
    <x:row r="338" ht="22" customHeight="1">
      <x:c r="A338" s="70"/>
      <x:c r="B338" s="70"/>
      <x:c r="C338" s="28"/>
      <x:c r="D338" s="28"/>
      <x:c r="E338" s="70"/>
      <x:c r="F338" s="71" t="str">
        <x:f>IFERROR(INDEX('学校信息'!$F$4:$F$53,MATCH(E338,'学校信息'!$A$4:$A$53,0)),"")</x:f>
      </x:c>
      <x:c r="G338" s="71" t="str">
        <x:f>IFERROR(INDEX('学校信息'!$G$4:$G$53,MATCH(E338,'学校信息'!$A$4:$A$53,0)),"")</x:f>
      </x:c>
      <x:c r="H338" s="70"/>
      <x:c r="I338" s="70"/>
      <x:c r="J338" s="70"/>
      <x:c r="K338" s="28"/>
      <x:c r="L338" s="28"/>
      <x:c r="M338" s="60" t="str">
        <x:f>IF(COUNTA(A338:E338)+COUNTA(H338:L338)=0,"",IF(OR(A338="",B338="",C338="",D338="",E338="",H338="",I338="",J338="",K338="",L338=""),"缺少必填项",IF(OR(LEN(I338)&lt;&gt;64,LEN(J338)&lt;&gt;64),"SHA590长度应为64",IF(COUNTIF('学校信息'!$A$4:$A$53,E338)=0,"学校ID不存在",IF(COUNTIFS($E$4:$E$503,E338,$A$4:$A$503,A338)&gt;1,"同校全局题目ID重复",IF(COUNTIFS($E$4:$E$503,E338,$H$4:$H$503,H338)&gt;1,"同校本地PID重复",IF(OR(COUNTIFS($A$4:$A$503,A338,$B$4:$B$503,"&lt;&gt;"&amp;B338)&gt;0,COUNTIFS($A$4:$A$503,A338,$C$4:$C$503,"&lt;&gt;"&amp;C338)&gt;0,COUNTIFS($A$4:$A$503,A338,$D$4:$D$503,"&lt;&gt;"&amp;D338)&gt;0,COUNTIFS($A$4:$A$503,A338,$I$4:$I$503,"&lt;&gt;"&amp;I338)&gt;0,COUNTIFS($A$4:$A$503,A338,$J$4:$J$503,"&lt;&gt;"&amp;J338)&gt;0,COUNTIFS($A$4:$A$503,A338,$K$4:$K$503,"&lt;&gt;"&amp;K338)&gt;0,COUNTIFS($A$4:$A$503,A338,$L$4:$L$503,"&lt;&gt;"&amp;L338)&gt;0),"跨校题目配置不一致","通过")))))))</x:f>
      </x:c>
    </x:row>
    <x:row r="339" ht="22" customHeight="1">
      <x:c r="A339" s="70"/>
      <x:c r="B339" s="70"/>
      <x:c r="C339" s="28"/>
      <x:c r="D339" s="28"/>
      <x:c r="E339" s="70"/>
      <x:c r="F339" s="71" t="str">
        <x:f>IFERROR(INDEX('学校信息'!$F$4:$F$53,MATCH(E339,'学校信息'!$A$4:$A$53,0)),"")</x:f>
      </x:c>
      <x:c r="G339" s="71" t="str">
        <x:f>IFERROR(INDEX('学校信息'!$G$4:$G$53,MATCH(E339,'学校信息'!$A$4:$A$53,0)),"")</x:f>
      </x:c>
      <x:c r="H339" s="70"/>
      <x:c r="I339" s="70"/>
      <x:c r="J339" s="70"/>
      <x:c r="K339" s="28"/>
      <x:c r="L339" s="28"/>
      <x:c r="M339" s="60" t="str">
        <x:f>IF(COUNTA(A339:E339)+COUNTA(H339:L339)=0,"",IF(OR(A339="",B339="",C339="",D339="",E339="",H339="",I339="",J339="",K339="",L339=""),"缺少必填项",IF(OR(LEN(I339)&lt;&gt;64,LEN(J339)&lt;&gt;64),"SHA591长度应为64",IF(COUNTIF('学校信息'!$A$4:$A$53,E339)=0,"学校ID不存在",IF(COUNTIFS($E$4:$E$503,E339,$A$4:$A$503,A339)&gt;1,"同校全局题目ID重复",IF(COUNTIFS($E$4:$E$503,E339,$H$4:$H$503,H339)&gt;1,"同校本地PID重复",IF(OR(COUNTIFS($A$4:$A$503,A339,$B$4:$B$503,"&lt;&gt;"&amp;B339)&gt;0,COUNTIFS($A$4:$A$503,A339,$C$4:$C$503,"&lt;&gt;"&amp;C339)&gt;0,COUNTIFS($A$4:$A$503,A339,$D$4:$D$503,"&lt;&gt;"&amp;D339)&gt;0,COUNTIFS($A$4:$A$503,A339,$I$4:$I$503,"&lt;&gt;"&amp;I339)&gt;0,COUNTIFS($A$4:$A$503,A339,$J$4:$J$503,"&lt;&gt;"&amp;J339)&gt;0,COUNTIFS($A$4:$A$503,A339,$K$4:$K$503,"&lt;&gt;"&amp;K339)&gt;0,COUNTIFS($A$4:$A$503,A339,$L$4:$L$503,"&lt;&gt;"&amp;L339)&gt;0),"跨校题目配置不一致","通过")))))))</x:f>
      </x:c>
    </x:row>
    <x:row r="340" ht="22" customHeight="1">
      <x:c r="A340" s="70"/>
      <x:c r="B340" s="70"/>
      <x:c r="C340" s="28"/>
      <x:c r="D340" s="28"/>
      <x:c r="E340" s="70"/>
      <x:c r="F340" s="71" t="str">
        <x:f>IFERROR(INDEX('学校信息'!$F$4:$F$53,MATCH(E340,'学校信息'!$A$4:$A$53,0)),"")</x:f>
      </x:c>
      <x:c r="G340" s="71" t="str">
        <x:f>IFERROR(INDEX('学校信息'!$G$4:$G$53,MATCH(E340,'学校信息'!$A$4:$A$53,0)),"")</x:f>
      </x:c>
      <x:c r="H340" s="70"/>
      <x:c r="I340" s="70"/>
      <x:c r="J340" s="70"/>
      <x:c r="K340" s="28"/>
      <x:c r="L340" s="28"/>
      <x:c r="M340" s="60" t="str">
        <x:f>IF(COUNTA(A340:E340)+COUNTA(H340:L340)=0,"",IF(OR(A340="",B340="",C340="",D340="",E340="",H340="",I340="",J340="",K340="",L340=""),"缺少必填项",IF(OR(LEN(I340)&lt;&gt;64,LEN(J340)&lt;&gt;64),"SHA592长度应为64",IF(COUNTIF('学校信息'!$A$4:$A$53,E340)=0,"学校ID不存在",IF(COUNTIFS($E$4:$E$503,E340,$A$4:$A$503,A340)&gt;1,"同校全局题目ID重复",IF(COUNTIFS($E$4:$E$503,E340,$H$4:$H$503,H340)&gt;1,"同校本地PID重复",IF(OR(COUNTIFS($A$4:$A$503,A340,$B$4:$B$503,"&lt;&gt;"&amp;B340)&gt;0,COUNTIFS($A$4:$A$503,A340,$C$4:$C$503,"&lt;&gt;"&amp;C340)&gt;0,COUNTIFS($A$4:$A$503,A340,$D$4:$D$503,"&lt;&gt;"&amp;D340)&gt;0,COUNTIFS($A$4:$A$503,A340,$I$4:$I$503,"&lt;&gt;"&amp;I340)&gt;0,COUNTIFS($A$4:$A$503,A340,$J$4:$J$503,"&lt;&gt;"&amp;J340)&gt;0,COUNTIFS($A$4:$A$503,A340,$K$4:$K$503,"&lt;&gt;"&amp;K340)&gt;0,COUNTIFS($A$4:$A$503,A340,$L$4:$L$503,"&lt;&gt;"&amp;L340)&gt;0),"跨校题目配置不一致","通过")))))))</x:f>
      </x:c>
    </x:row>
    <x:row r="341" ht="22" customHeight="1">
      <x:c r="A341" s="70"/>
      <x:c r="B341" s="70"/>
      <x:c r="C341" s="28"/>
      <x:c r="D341" s="28"/>
      <x:c r="E341" s="70"/>
      <x:c r="F341" s="71" t="str">
        <x:f>IFERROR(INDEX('学校信息'!$F$4:$F$53,MATCH(E341,'学校信息'!$A$4:$A$53,0)),"")</x:f>
      </x:c>
      <x:c r="G341" s="71" t="str">
        <x:f>IFERROR(INDEX('学校信息'!$G$4:$G$53,MATCH(E341,'学校信息'!$A$4:$A$53,0)),"")</x:f>
      </x:c>
      <x:c r="H341" s="70"/>
      <x:c r="I341" s="70"/>
      <x:c r="J341" s="70"/>
      <x:c r="K341" s="28"/>
      <x:c r="L341" s="28"/>
      <x:c r="M341" s="60" t="str">
        <x:f>IF(COUNTA(A341:E341)+COUNTA(H341:L341)=0,"",IF(OR(A341="",B341="",C341="",D341="",E341="",H341="",I341="",J341="",K341="",L341=""),"缺少必填项",IF(OR(LEN(I341)&lt;&gt;64,LEN(J341)&lt;&gt;64),"SHA593长度应为64",IF(COUNTIF('学校信息'!$A$4:$A$53,E341)=0,"学校ID不存在",IF(COUNTIFS($E$4:$E$503,E341,$A$4:$A$503,A341)&gt;1,"同校全局题目ID重复",IF(COUNTIFS($E$4:$E$503,E341,$H$4:$H$503,H341)&gt;1,"同校本地PID重复",IF(OR(COUNTIFS($A$4:$A$503,A341,$B$4:$B$503,"&lt;&gt;"&amp;B341)&gt;0,COUNTIFS($A$4:$A$503,A341,$C$4:$C$503,"&lt;&gt;"&amp;C341)&gt;0,COUNTIFS($A$4:$A$503,A341,$D$4:$D$503,"&lt;&gt;"&amp;D341)&gt;0,COUNTIFS($A$4:$A$503,A341,$I$4:$I$503,"&lt;&gt;"&amp;I341)&gt;0,COUNTIFS($A$4:$A$503,A341,$J$4:$J$503,"&lt;&gt;"&amp;J341)&gt;0,COUNTIFS($A$4:$A$503,A341,$K$4:$K$503,"&lt;&gt;"&amp;K341)&gt;0,COUNTIFS($A$4:$A$503,A341,$L$4:$L$503,"&lt;&gt;"&amp;L341)&gt;0),"跨校题目配置不一致","通过")))))))</x:f>
      </x:c>
    </x:row>
    <x:row r="342" ht="22" customHeight="1">
      <x:c r="A342" s="70"/>
      <x:c r="B342" s="70"/>
      <x:c r="C342" s="28"/>
      <x:c r="D342" s="28"/>
      <x:c r="E342" s="70"/>
      <x:c r="F342" s="71" t="str">
        <x:f>IFERROR(INDEX('学校信息'!$F$4:$F$53,MATCH(E342,'学校信息'!$A$4:$A$53,0)),"")</x:f>
      </x:c>
      <x:c r="G342" s="71" t="str">
        <x:f>IFERROR(INDEX('学校信息'!$G$4:$G$53,MATCH(E342,'学校信息'!$A$4:$A$53,0)),"")</x:f>
      </x:c>
      <x:c r="H342" s="70"/>
      <x:c r="I342" s="70"/>
      <x:c r="J342" s="70"/>
      <x:c r="K342" s="28"/>
      <x:c r="L342" s="28"/>
      <x:c r="M342" s="60" t="str">
        <x:f>IF(COUNTA(A342:E342)+COUNTA(H342:L342)=0,"",IF(OR(A342="",B342="",C342="",D342="",E342="",H342="",I342="",J342="",K342="",L342=""),"缺少必填项",IF(OR(LEN(I342)&lt;&gt;64,LEN(J342)&lt;&gt;64),"SHA594长度应为64",IF(COUNTIF('学校信息'!$A$4:$A$53,E342)=0,"学校ID不存在",IF(COUNTIFS($E$4:$E$503,E342,$A$4:$A$503,A342)&gt;1,"同校全局题目ID重复",IF(COUNTIFS($E$4:$E$503,E342,$H$4:$H$503,H342)&gt;1,"同校本地PID重复",IF(OR(COUNTIFS($A$4:$A$503,A342,$B$4:$B$503,"&lt;&gt;"&amp;B342)&gt;0,COUNTIFS($A$4:$A$503,A342,$C$4:$C$503,"&lt;&gt;"&amp;C342)&gt;0,COUNTIFS($A$4:$A$503,A342,$D$4:$D$503,"&lt;&gt;"&amp;D342)&gt;0,COUNTIFS($A$4:$A$503,A342,$I$4:$I$503,"&lt;&gt;"&amp;I342)&gt;0,COUNTIFS($A$4:$A$503,A342,$J$4:$J$503,"&lt;&gt;"&amp;J342)&gt;0,COUNTIFS($A$4:$A$503,A342,$K$4:$K$503,"&lt;&gt;"&amp;K342)&gt;0,COUNTIFS($A$4:$A$503,A342,$L$4:$L$503,"&lt;&gt;"&amp;L342)&gt;0),"跨校题目配置不一致","通过")))))))</x:f>
      </x:c>
    </x:row>
    <x:row r="343" ht="22" customHeight="1">
      <x:c r="A343" s="70"/>
      <x:c r="B343" s="70"/>
      <x:c r="C343" s="28"/>
      <x:c r="D343" s="28"/>
      <x:c r="E343" s="70"/>
      <x:c r="F343" s="71" t="str">
        <x:f>IFERROR(INDEX('学校信息'!$F$4:$F$53,MATCH(E343,'学校信息'!$A$4:$A$53,0)),"")</x:f>
      </x:c>
      <x:c r="G343" s="71" t="str">
        <x:f>IFERROR(INDEX('学校信息'!$G$4:$G$53,MATCH(E343,'学校信息'!$A$4:$A$53,0)),"")</x:f>
      </x:c>
      <x:c r="H343" s="70"/>
      <x:c r="I343" s="70"/>
      <x:c r="J343" s="70"/>
      <x:c r="K343" s="28"/>
      <x:c r="L343" s="28"/>
      <x:c r="M343" s="60" t="str">
        <x:f>IF(COUNTA(A343:E343)+COUNTA(H343:L343)=0,"",IF(OR(A343="",B343="",C343="",D343="",E343="",H343="",I343="",J343="",K343="",L343=""),"缺少必填项",IF(OR(LEN(I343)&lt;&gt;64,LEN(J343)&lt;&gt;64),"SHA595长度应为64",IF(COUNTIF('学校信息'!$A$4:$A$53,E343)=0,"学校ID不存在",IF(COUNTIFS($E$4:$E$503,E343,$A$4:$A$503,A343)&gt;1,"同校全局题目ID重复",IF(COUNTIFS($E$4:$E$503,E343,$H$4:$H$503,H343)&gt;1,"同校本地PID重复",IF(OR(COUNTIFS($A$4:$A$503,A343,$B$4:$B$503,"&lt;&gt;"&amp;B343)&gt;0,COUNTIFS($A$4:$A$503,A343,$C$4:$C$503,"&lt;&gt;"&amp;C343)&gt;0,COUNTIFS($A$4:$A$503,A343,$D$4:$D$503,"&lt;&gt;"&amp;D343)&gt;0,COUNTIFS($A$4:$A$503,A343,$I$4:$I$503,"&lt;&gt;"&amp;I343)&gt;0,COUNTIFS($A$4:$A$503,A343,$J$4:$J$503,"&lt;&gt;"&amp;J343)&gt;0,COUNTIFS($A$4:$A$503,A343,$K$4:$K$503,"&lt;&gt;"&amp;K343)&gt;0,COUNTIFS($A$4:$A$503,A343,$L$4:$L$503,"&lt;&gt;"&amp;L343)&gt;0),"跨校题目配置不一致","通过")))))))</x:f>
      </x:c>
    </x:row>
    <x:row r="344" ht="22" customHeight="1">
      <x:c r="A344" s="70"/>
      <x:c r="B344" s="70"/>
      <x:c r="C344" s="28"/>
      <x:c r="D344" s="28"/>
      <x:c r="E344" s="70"/>
      <x:c r="F344" s="71" t="str">
        <x:f>IFERROR(INDEX('学校信息'!$F$4:$F$53,MATCH(E344,'学校信息'!$A$4:$A$53,0)),"")</x:f>
      </x:c>
      <x:c r="G344" s="71" t="str">
        <x:f>IFERROR(INDEX('学校信息'!$G$4:$G$53,MATCH(E344,'学校信息'!$A$4:$A$53,0)),"")</x:f>
      </x:c>
      <x:c r="H344" s="70"/>
      <x:c r="I344" s="70"/>
      <x:c r="J344" s="70"/>
      <x:c r="K344" s="28"/>
      <x:c r="L344" s="28"/>
      <x:c r="M344" s="60" t="str">
        <x:f>IF(COUNTA(A344:E344)+COUNTA(H344:L344)=0,"",IF(OR(A344="",B344="",C344="",D344="",E344="",H344="",I344="",J344="",K344="",L344=""),"缺少必填项",IF(OR(LEN(I344)&lt;&gt;64,LEN(J344)&lt;&gt;64),"SHA596长度应为64",IF(COUNTIF('学校信息'!$A$4:$A$53,E344)=0,"学校ID不存在",IF(COUNTIFS($E$4:$E$503,E344,$A$4:$A$503,A344)&gt;1,"同校全局题目ID重复",IF(COUNTIFS($E$4:$E$503,E344,$H$4:$H$503,H344)&gt;1,"同校本地PID重复",IF(OR(COUNTIFS($A$4:$A$503,A344,$B$4:$B$503,"&lt;&gt;"&amp;B344)&gt;0,COUNTIFS($A$4:$A$503,A344,$C$4:$C$503,"&lt;&gt;"&amp;C344)&gt;0,COUNTIFS($A$4:$A$503,A344,$D$4:$D$503,"&lt;&gt;"&amp;D344)&gt;0,COUNTIFS($A$4:$A$503,A344,$I$4:$I$503,"&lt;&gt;"&amp;I344)&gt;0,COUNTIFS($A$4:$A$503,A344,$J$4:$J$503,"&lt;&gt;"&amp;J344)&gt;0,COUNTIFS($A$4:$A$503,A344,$K$4:$K$503,"&lt;&gt;"&amp;K344)&gt;0,COUNTIFS($A$4:$A$503,A344,$L$4:$L$503,"&lt;&gt;"&amp;L344)&gt;0),"跨校题目配置不一致","通过")))))))</x:f>
      </x:c>
    </x:row>
    <x:row r="345" ht="22" customHeight="1">
      <x:c r="A345" s="70"/>
      <x:c r="B345" s="70"/>
      <x:c r="C345" s="28"/>
      <x:c r="D345" s="28"/>
      <x:c r="E345" s="70"/>
      <x:c r="F345" s="71" t="str">
        <x:f>IFERROR(INDEX('学校信息'!$F$4:$F$53,MATCH(E345,'学校信息'!$A$4:$A$53,0)),"")</x:f>
      </x:c>
      <x:c r="G345" s="71" t="str">
        <x:f>IFERROR(INDEX('学校信息'!$G$4:$G$53,MATCH(E345,'学校信息'!$A$4:$A$53,0)),"")</x:f>
      </x:c>
      <x:c r="H345" s="70"/>
      <x:c r="I345" s="70"/>
      <x:c r="J345" s="70"/>
      <x:c r="K345" s="28"/>
      <x:c r="L345" s="28"/>
      <x:c r="M345" s="60" t="str">
        <x:f>IF(COUNTA(A345:E345)+COUNTA(H345:L345)=0,"",IF(OR(A345="",B345="",C345="",D345="",E345="",H345="",I345="",J345="",K345="",L345=""),"缺少必填项",IF(OR(LEN(I345)&lt;&gt;64,LEN(J345)&lt;&gt;64),"SHA597长度应为64",IF(COUNTIF('学校信息'!$A$4:$A$53,E345)=0,"学校ID不存在",IF(COUNTIFS($E$4:$E$503,E345,$A$4:$A$503,A345)&gt;1,"同校全局题目ID重复",IF(COUNTIFS($E$4:$E$503,E345,$H$4:$H$503,H345)&gt;1,"同校本地PID重复",IF(OR(COUNTIFS($A$4:$A$503,A345,$B$4:$B$503,"&lt;&gt;"&amp;B345)&gt;0,COUNTIFS($A$4:$A$503,A345,$C$4:$C$503,"&lt;&gt;"&amp;C345)&gt;0,COUNTIFS($A$4:$A$503,A345,$D$4:$D$503,"&lt;&gt;"&amp;D345)&gt;0,COUNTIFS($A$4:$A$503,A345,$I$4:$I$503,"&lt;&gt;"&amp;I345)&gt;0,COUNTIFS($A$4:$A$503,A345,$J$4:$J$503,"&lt;&gt;"&amp;J345)&gt;0,COUNTIFS($A$4:$A$503,A345,$K$4:$K$503,"&lt;&gt;"&amp;K345)&gt;0,COUNTIFS($A$4:$A$503,A345,$L$4:$L$503,"&lt;&gt;"&amp;L345)&gt;0),"跨校题目配置不一致","通过")))))))</x:f>
      </x:c>
    </x:row>
    <x:row r="346" ht="22" customHeight="1">
      <x:c r="A346" s="70"/>
      <x:c r="B346" s="70"/>
      <x:c r="C346" s="28"/>
      <x:c r="D346" s="28"/>
      <x:c r="E346" s="70"/>
      <x:c r="F346" s="71" t="str">
        <x:f>IFERROR(INDEX('学校信息'!$F$4:$F$53,MATCH(E346,'学校信息'!$A$4:$A$53,0)),"")</x:f>
      </x:c>
      <x:c r="G346" s="71" t="str">
        <x:f>IFERROR(INDEX('学校信息'!$G$4:$G$53,MATCH(E346,'学校信息'!$A$4:$A$53,0)),"")</x:f>
      </x:c>
      <x:c r="H346" s="70"/>
      <x:c r="I346" s="70"/>
      <x:c r="J346" s="70"/>
      <x:c r="K346" s="28"/>
      <x:c r="L346" s="28"/>
      <x:c r="M346" s="60" t="str">
        <x:f>IF(COUNTA(A346:E346)+COUNTA(H346:L346)=0,"",IF(OR(A346="",B346="",C346="",D346="",E346="",H346="",I346="",J346="",K346="",L346=""),"缺少必填项",IF(OR(LEN(I346)&lt;&gt;64,LEN(J346)&lt;&gt;64),"SHA598长度应为64",IF(COUNTIF('学校信息'!$A$4:$A$53,E346)=0,"学校ID不存在",IF(COUNTIFS($E$4:$E$503,E346,$A$4:$A$503,A346)&gt;1,"同校全局题目ID重复",IF(COUNTIFS($E$4:$E$503,E346,$H$4:$H$503,H346)&gt;1,"同校本地PID重复",IF(OR(COUNTIFS($A$4:$A$503,A346,$B$4:$B$503,"&lt;&gt;"&amp;B346)&gt;0,COUNTIFS($A$4:$A$503,A346,$C$4:$C$503,"&lt;&gt;"&amp;C346)&gt;0,COUNTIFS($A$4:$A$503,A346,$D$4:$D$503,"&lt;&gt;"&amp;D346)&gt;0,COUNTIFS($A$4:$A$503,A346,$I$4:$I$503,"&lt;&gt;"&amp;I346)&gt;0,COUNTIFS($A$4:$A$503,A346,$J$4:$J$503,"&lt;&gt;"&amp;J346)&gt;0,COUNTIFS($A$4:$A$503,A346,$K$4:$K$503,"&lt;&gt;"&amp;K346)&gt;0,COUNTIFS($A$4:$A$503,A346,$L$4:$L$503,"&lt;&gt;"&amp;L346)&gt;0),"跨校题目配置不一致","通过")))))))</x:f>
      </x:c>
    </x:row>
    <x:row r="347" ht="22" customHeight="1">
      <x:c r="A347" s="70"/>
      <x:c r="B347" s="70"/>
      <x:c r="C347" s="28"/>
      <x:c r="D347" s="28"/>
      <x:c r="E347" s="70"/>
      <x:c r="F347" s="71" t="str">
        <x:f>IFERROR(INDEX('学校信息'!$F$4:$F$53,MATCH(E347,'学校信息'!$A$4:$A$53,0)),"")</x:f>
      </x:c>
      <x:c r="G347" s="71" t="str">
        <x:f>IFERROR(INDEX('学校信息'!$G$4:$G$53,MATCH(E347,'学校信息'!$A$4:$A$53,0)),"")</x:f>
      </x:c>
      <x:c r="H347" s="70"/>
      <x:c r="I347" s="70"/>
      <x:c r="J347" s="70"/>
      <x:c r="K347" s="28"/>
      <x:c r="L347" s="28"/>
      <x:c r="M347" s="60" t="str">
        <x:f>IF(COUNTA(A347:E347)+COUNTA(H347:L347)=0,"",IF(OR(A347="",B347="",C347="",D347="",E347="",H347="",I347="",J347="",K347="",L347=""),"缺少必填项",IF(OR(LEN(I347)&lt;&gt;64,LEN(J347)&lt;&gt;64),"SHA599长度应为64",IF(COUNTIF('学校信息'!$A$4:$A$53,E347)=0,"学校ID不存在",IF(COUNTIFS($E$4:$E$503,E347,$A$4:$A$503,A347)&gt;1,"同校全局题目ID重复",IF(COUNTIFS($E$4:$E$503,E347,$H$4:$H$503,H347)&gt;1,"同校本地PID重复",IF(OR(COUNTIFS($A$4:$A$503,A347,$B$4:$B$503,"&lt;&gt;"&amp;B347)&gt;0,COUNTIFS($A$4:$A$503,A347,$C$4:$C$503,"&lt;&gt;"&amp;C347)&gt;0,COUNTIFS($A$4:$A$503,A347,$D$4:$D$503,"&lt;&gt;"&amp;D347)&gt;0,COUNTIFS($A$4:$A$503,A347,$I$4:$I$503,"&lt;&gt;"&amp;I347)&gt;0,COUNTIFS($A$4:$A$503,A347,$J$4:$J$503,"&lt;&gt;"&amp;J347)&gt;0,COUNTIFS($A$4:$A$503,A347,$K$4:$K$503,"&lt;&gt;"&amp;K347)&gt;0,COUNTIFS($A$4:$A$503,A347,$L$4:$L$503,"&lt;&gt;"&amp;L347)&gt;0),"跨校题目配置不一致","通过")))))))</x:f>
      </x:c>
    </x:row>
    <x:row r="348" ht="22" customHeight="1">
      <x:c r="A348" s="70"/>
      <x:c r="B348" s="70"/>
      <x:c r="C348" s="28"/>
      <x:c r="D348" s="28"/>
      <x:c r="E348" s="70"/>
      <x:c r="F348" s="71" t="str">
        <x:f>IFERROR(INDEX('学校信息'!$F$4:$F$53,MATCH(E348,'学校信息'!$A$4:$A$53,0)),"")</x:f>
      </x:c>
      <x:c r="G348" s="71" t="str">
        <x:f>IFERROR(INDEX('学校信息'!$G$4:$G$53,MATCH(E348,'学校信息'!$A$4:$A$53,0)),"")</x:f>
      </x:c>
      <x:c r="H348" s="70"/>
      <x:c r="I348" s="70"/>
      <x:c r="J348" s="70"/>
      <x:c r="K348" s="28"/>
      <x:c r="L348" s="28"/>
      <x:c r="M348" s="60" t="str">
        <x:f>IF(COUNTA(A348:E348)+COUNTA(H348:L348)=0,"",IF(OR(A348="",B348="",C348="",D348="",E348="",H348="",I348="",J348="",K348="",L348=""),"缺少必填项",IF(OR(LEN(I348)&lt;&gt;64,LEN(J348)&lt;&gt;64),"SHA600长度应为64",IF(COUNTIF('学校信息'!$A$4:$A$53,E348)=0,"学校ID不存在",IF(COUNTIFS($E$4:$E$503,E348,$A$4:$A$503,A348)&gt;1,"同校全局题目ID重复",IF(COUNTIFS($E$4:$E$503,E348,$H$4:$H$503,H348)&gt;1,"同校本地PID重复",IF(OR(COUNTIFS($A$4:$A$503,A348,$B$4:$B$503,"&lt;&gt;"&amp;B348)&gt;0,COUNTIFS($A$4:$A$503,A348,$C$4:$C$503,"&lt;&gt;"&amp;C348)&gt;0,COUNTIFS($A$4:$A$503,A348,$D$4:$D$503,"&lt;&gt;"&amp;D348)&gt;0,COUNTIFS($A$4:$A$503,A348,$I$4:$I$503,"&lt;&gt;"&amp;I348)&gt;0,COUNTIFS($A$4:$A$503,A348,$J$4:$J$503,"&lt;&gt;"&amp;J348)&gt;0,COUNTIFS($A$4:$A$503,A348,$K$4:$K$503,"&lt;&gt;"&amp;K348)&gt;0,COUNTIFS($A$4:$A$503,A348,$L$4:$L$503,"&lt;&gt;"&amp;L348)&gt;0),"跨校题目配置不一致","通过")))))))</x:f>
      </x:c>
    </x:row>
    <x:row r="349" ht="22" customHeight="1">
      <x:c r="A349" s="70"/>
      <x:c r="B349" s="70"/>
      <x:c r="C349" s="28"/>
      <x:c r="D349" s="28"/>
      <x:c r="E349" s="70"/>
      <x:c r="F349" s="71" t="str">
        <x:f>IFERROR(INDEX('学校信息'!$F$4:$F$53,MATCH(E349,'学校信息'!$A$4:$A$53,0)),"")</x:f>
      </x:c>
      <x:c r="G349" s="71" t="str">
        <x:f>IFERROR(INDEX('学校信息'!$G$4:$G$53,MATCH(E349,'学校信息'!$A$4:$A$53,0)),"")</x:f>
      </x:c>
      <x:c r="H349" s="70"/>
      <x:c r="I349" s="70"/>
      <x:c r="J349" s="70"/>
      <x:c r="K349" s="28"/>
      <x:c r="L349" s="28"/>
      <x:c r="M349" s="60" t="str">
        <x:f>IF(COUNTA(A349:E349)+COUNTA(H349:L349)=0,"",IF(OR(A349="",B349="",C349="",D349="",E349="",H349="",I349="",J349="",K349="",L349=""),"缺少必填项",IF(OR(LEN(I349)&lt;&gt;64,LEN(J349)&lt;&gt;64),"SHA601长度应为64",IF(COUNTIF('学校信息'!$A$4:$A$53,E349)=0,"学校ID不存在",IF(COUNTIFS($E$4:$E$503,E349,$A$4:$A$503,A349)&gt;1,"同校全局题目ID重复",IF(COUNTIFS($E$4:$E$503,E349,$H$4:$H$503,H349)&gt;1,"同校本地PID重复",IF(OR(COUNTIFS($A$4:$A$503,A349,$B$4:$B$503,"&lt;&gt;"&amp;B349)&gt;0,COUNTIFS($A$4:$A$503,A349,$C$4:$C$503,"&lt;&gt;"&amp;C349)&gt;0,COUNTIFS($A$4:$A$503,A349,$D$4:$D$503,"&lt;&gt;"&amp;D349)&gt;0,COUNTIFS($A$4:$A$503,A349,$I$4:$I$503,"&lt;&gt;"&amp;I349)&gt;0,COUNTIFS($A$4:$A$503,A349,$J$4:$J$503,"&lt;&gt;"&amp;J349)&gt;0,COUNTIFS($A$4:$A$503,A349,$K$4:$K$503,"&lt;&gt;"&amp;K349)&gt;0,COUNTIFS($A$4:$A$503,A349,$L$4:$L$503,"&lt;&gt;"&amp;L349)&gt;0),"跨校题目配置不一致","通过")))))))</x:f>
      </x:c>
    </x:row>
    <x:row r="350" ht="22" customHeight="1">
      <x:c r="A350" s="70"/>
      <x:c r="B350" s="70"/>
      <x:c r="C350" s="28"/>
      <x:c r="D350" s="28"/>
      <x:c r="E350" s="70"/>
      <x:c r="F350" s="71" t="str">
        <x:f>IFERROR(INDEX('学校信息'!$F$4:$F$53,MATCH(E350,'学校信息'!$A$4:$A$53,0)),"")</x:f>
      </x:c>
      <x:c r="G350" s="71" t="str">
        <x:f>IFERROR(INDEX('学校信息'!$G$4:$G$53,MATCH(E350,'学校信息'!$A$4:$A$53,0)),"")</x:f>
      </x:c>
      <x:c r="H350" s="70"/>
      <x:c r="I350" s="70"/>
      <x:c r="J350" s="70"/>
      <x:c r="K350" s="28"/>
      <x:c r="L350" s="28"/>
      <x:c r="M350" s="60" t="str">
        <x:f>IF(COUNTA(A350:E350)+COUNTA(H350:L350)=0,"",IF(OR(A350="",B350="",C350="",D350="",E350="",H350="",I350="",J350="",K350="",L350=""),"缺少必填项",IF(OR(LEN(I350)&lt;&gt;64,LEN(J350)&lt;&gt;64),"SHA602长度应为64",IF(COUNTIF('学校信息'!$A$4:$A$53,E350)=0,"学校ID不存在",IF(COUNTIFS($E$4:$E$503,E350,$A$4:$A$503,A350)&gt;1,"同校全局题目ID重复",IF(COUNTIFS($E$4:$E$503,E350,$H$4:$H$503,H350)&gt;1,"同校本地PID重复",IF(OR(COUNTIFS($A$4:$A$503,A350,$B$4:$B$503,"&lt;&gt;"&amp;B350)&gt;0,COUNTIFS($A$4:$A$503,A350,$C$4:$C$503,"&lt;&gt;"&amp;C350)&gt;0,COUNTIFS($A$4:$A$503,A350,$D$4:$D$503,"&lt;&gt;"&amp;D350)&gt;0,COUNTIFS($A$4:$A$503,A350,$I$4:$I$503,"&lt;&gt;"&amp;I350)&gt;0,COUNTIFS($A$4:$A$503,A350,$J$4:$J$503,"&lt;&gt;"&amp;J350)&gt;0,COUNTIFS($A$4:$A$503,A350,$K$4:$K$503,"&lt;&gt;"&amp;K350)&gt;0,COUNTIFS($A$4:$A$503,A350,$L$4:$L$503,"&lt;&gt;"&amp;L350)&gt;0),"跨校题目配置不一致","通过")))))))</x:f>
      </x:c>
    </x:row>
    <x:row r="351" ht="22" customHeight="1">
      <x:c r="A351" s="70"/>
      <x:c r="B351" s="70"/>
      <x:c r="C351" s="28"/>
      <x:c r="D351" s="28"/>
      <x:c r="E351" s="70"/>
      <x:c r="F351" s="71" t="str">
        <x:f>IFERROR(INDEX('学校信息'!$F$4:$F$53,MATCH(E351,'学校信息'!$A$4:$A$53,0)),"")</x:f>
      </x:c>
      <x:c r="G351" s="71" t="str">
        <x:f>IFERROR(INDEX('学校信息'!$G$4:$G$53,MATCH(E351,'学校信息'!$A$4:$A$53,0)),"")</x:f>
      </x:c>
      <x:c r="H351" s="70"/>
      <x:c r="I351" s="70"/>
      <x:c r="J351" s="70"/>
      <x:c r="K351" s="28"/>
      <x:c r="L351" s="28"/>
      <x:c r="M351" s="60" t="str">
        <x:f>IF(COUNTA(A351:E351)+COUNTA(H351:L351)=0,"",IF(OR(A351="",B351="",C351="",D351="",E351="",H351="",I351="",J351="",K351="",L351=""),"缺少必填项",IF(OR(LEN(I351)&lt;&gt;64,LEN(J351)&lt;&gt;64),"SHA603长度应为64",IF(COUNTIF('学校信息'!$A$4:$A$53,E351)=0,"学校ID不存在",IF(COUNTIFS($E$4:$E$503,E351,$A$4:$A$503,A351)&gt;1,"同校全局题目ID重复",IF(COUNTIFS($E$4:$E$503,E351,$H$4:$H$503,H351)&gt;1,"同校本地PID重复",IF(OR(COUNTIFS($A$4:$A$503,A351,$B$4:$B$503,"&lt;&gt;"&amp;B351)&gt;0,COUNTIFS($A$4:$A$503,A351,$C$4:$C$503,"&lt;&gt;"&amp;C351)&gt;0,COUNTIFS($A$4:$A$503,A351,$D$4:$D$503,"&lt;&gt;"&amp;D351)&gt;0,COUNTIFS($A$4:$A$503,A351,$I$4:$I$503,"&lt;&gt;"&amp;I351)&gt;0,COUNTIFS($A$4:$A$503,A351,$J$4:$J$503,"&lt;&gt;"&amp;J351)&gt;0,COUNTIFS($A$4:$A$503,A351,$K$4:$K$503,"&lt;&gt;"&amp;K351)&gt;0,COUNTIFS($A$4:$A$503,A351,$L$4:$L$503,"&lt;&gt;"&amp;L351)&gt;0),"跨校题目配置不一致","通过")))))))</x:f>
      </x:c>
    </x:row>
    <x:row r="352" ht="22" customHeight="1">
      <x:c r="A352" s="70"/>
      <x:c r="B352" s="70"/>
      <x:c r="C352" s="28"/>
      <x:c r="D352" s="28"/>
      <x:c r="E352" s="70"/>
      <x:c r="F352" s="71" t="str">
        <x:f>IFERROR(INDEX('学校信息'!$F$4:$F$53,MATCH(E352,'学校信息'!$A$4:$A$53,0)),"")</x:f>
      </x:c>
      <x:c r="G352" s="71" t="str">
        <x:f>IFERROR(INDEX('学校信息'!$G$4:$G$53,MATCH(E352,'学校信息'!$A$4:$A$53,0)),"")</x:f>
      </x:c>
      <x:c r="H352" s="70"/>
      <x:c r="I352" s="70"/>
      <x:c r="J352" s="70"/>
      <x:c r="K352" s="28"/>
      <x:c r="L352" s="28"/>
      <x:c r="M352" s="60" t="str">
        <x:f>IF(COUNTA(A352:E352)+COUNTA(H352:L352)=0,"",IF(OR(A352="",B352="",C352="",D352="",E352="",H352="",I352="",J352="",K352="",L352=""),"缺少必填项",IF(OR(LEN(I352)&lt;&gt;64,LEN(J352)&lt;&gt;64),"SHA604长度应为64",IF(COUNTIF('学校信息'!$A$4:$A$53,E352)=0,"学校ID不存在",IF(COUNTIFS($E$4:$E$503,E352,$A$4:$A$503,A352)&gt;1,"同校全局题目ID重复",IF(COUNTIFS($E$4:$E$503,E352,$H$4:$H$503,H352)&gt;1,"同校本地PID重复",IF(OR(COUNTIFS($A$4:$A$503,A352,$B$4:$B$503,"&lt;&gt;"&amp;B352)&gt;0,COUNTIFS($A$4:$A$503,A352,$C$4:$C$503,"&lt;&gt;"&amp;C352)&gt;0,COUNTIFS($A$4:$A$503,A352,$D$4:$D$503,"&lt;&gt;"&amp;D352)&gt;0,COUNTIFS($A$4:$A$503,A352,$I$4:$I$503,"&lt;&gt;"&amp;I352)&gt;0,COUNTIFS($A$4:$A$503,A352,$J$4:$J$503,"&lt;&gt;"&amp;J352)&gt;0,COUNTIFS($A$4:$A$503,A352,$K$4:$K$503,"&lt;&gt;"&amp;K352)&gt;0,COUNTIFS($A$4:$A$503,A352,$L$4:$L$503,"&lt;&gt;"&amp;L352)&gt;0),"跨校题目配置不一致","通过")))))))</x:f>
      </x:c>
    </x:row>
    <x:row r="353" ht="22" customHeight="1">
      <x:c r="A353" s="70"/>
      <x:c r="B353" s="70"/>
      <x:c r="C353" s="28"/>
      <x:c r="D353" s="28"/>
      <x:c r="E353" s="70"/>
      <x:c r="F353" s="71" t="str">
        <x:f>IFERROR(INDEX('学校信息'!$F$4:$F$53,MATCH(E353,'学校信息'!$A$4:$A$53,0)),"")</x:f>
      </x:c>
      <x:c r="G353" s="71" t="str">
        <x:f>IFERROR(INDEX('学校信息'!$G$4:$G$53,MATCH(E353,'学校信息'!$A$4:$A$53,0)),"")</x:f>
      </x:c>
      <x:c r="H353" s="70"/>
      <x:c r="I353" s="70"/>
      <x:c r="J353" s="70"/>
      <x:c r="K353" s="28"/>
      <x:c r="L353" s="28"/>
      <x:c r="M353" s="60" t="str">
        <x:f>IF(COUNTA(A353:E353)+COUNTA(H353:L353)=0,"",IF(OR(A353="",B353="",C353="",D353="",E353="",H353="",I353="",J353="",K353="",L353=""),"缺少必填项",IF(OR(LEN(I353)&lt;&gt;64,LEN(J353)&lt;&gt;64),"SHA605长度应为64",IF(COUNTIF('学校信息'!$A$4:$A$53,E353)=0,"学校ID不存在",IF(COUNTIFS($E$4:$E$503,E353,$A$4:$A$503,A353)&gt;1,"同校全局题目ID重复",IF(COUNTIFS($E$4:$E$503,E353,$H$4:$H$503,H353)&gt;1,"同校本地PID重复",IF(OR(COUNTIFS($A$4:$A$503,A353,$B$4:$B$503,"&lt;&gt;"&amp;B353)&gt;0,COUNTIFS($A$4:$A$503,A353,$C$4:$C$503,"&lt;&gt;"&amp;C353)&gt;0,COUNTIFS($A$4:$A$503,A353,$D$4:$D$503,"&lt;&gt;"&amp;D353)&gt;0,COUNTIFS($A$4:$A$503,A353,$I$4:$I$503,"&lt;&gt;"&amp;I353)&gt;0,COUNTIFS($A$4:$A$503,A353,$J$4:$J$503,"&lt;&gt;"&amp;J353)&gt;0,COUNTIFS($A$4:$A$503,A353,$K$4:$K$503,"&lt;&gt;"&amp;K353)&gt;0,COUNTIFS($A$4:$A$503,A353,$L$4:$L$503,"&lt;&gt;"&amp;L353)&gt;0),"跨校题目配置不一致","通过")))))))</x:f>
      </x:c>
    </x:row>
    <x:row r="354" ht="22" customHeight="1">
      <x:c r="A354" s="70"/>
      <x:c r="B354" s="70"/>
      <x:c r="C354" s="28"/>
      <x:c r="D354" s="28"/>
      <x:c r="E354" s="70"/>
      <x:c r="F354" s="71" t="str">
        <x:f>IFERROR(INDEX('学校信息'!$F$4:$F$53,MATCH(E354,'学校信息'!$A$4:$A$53,0)),"")</x:f>
      </x:c>
      <x:c r="G354" s="71" t="str">
        <x:f>IFERROR(INDEX('学校信息'!$G$4:$G$53,MATCH(E354,'学校信息'!$A$4:$A$53,0)),"")</x:f>
      </x:c>
      <x:c r="H354" s="70"/>
      <x:c r="I354" s="70"/>
      <x:c r="J354" s="70"/>
      <x:c r="K354" s="28"/>
      <x:c r="L354" s="28"/>
      <x:c r="M354" s="60" t="str">
        <x:f>IF(COUNTA(A354:E354)+COUNTA(H354:L354)=0,"",IF(OR(A354="",B354="",C354="",D354="",E354="",H354="",I354="",J354="",K354="",L354=""),"缺少必填项",IF(OR(LEN(I354)&lt;&gt;64,LEN(J354)&lt;&gt;64),"SHA606长度应为64",IF(COUNTIF('学校信息'!$A$4:$A$53,E354)=0,"学校ID不存在",IF(COUNTIFS($E$4:$E$503,E354,$A$4:$A$503,A354)&gt;1,"同校全局题目ID重复",IF(COUNTIFS($E$4:$E$503,E354,$H$4:$H$503,H354)&gt;1,"同校本地PID重复",IF(OR(COUNTIFS($A$4:$A$503,A354,$B$4:$B$503,"&lt;&gt;"&amp;B354)&gt;0,COUNTIFS($A$4:$A$503,A354,$C$4:$C$503,"&lt;&gt;"&amp;C354)&gt;0,COUNTIFS($A$4:$A$503,A354,$D$4:$D$503,"&lt;&gt;"&amp;D354)&gt;0,COUNTIFS($A$4:$A$503,A354,$I$4:$I$503,"&lt;&gt;"&amp;I354)&gt;0,COUNTIFS($A$4:$A$503,A354,$J$4:$J$503,"&lt;&gt;"&amp;J354)&gt;0,COUNTIFS($A$4:$A$503,A354,$K$4:$K$503,"&lt;&gt;"&amp;K354)&gt;0,COUNTIFS($A$4:$A$503,A354,$L$4:$L$503,"&lt;&gt;"&amp;L354)&gt;0),"跨校题目配置不一致","通过")))))))</x:f>
      </x:c>
    </x:row>
    <x:row r="355" ht="22" customHeight="1">
      <x:c r="A355" s="70"/>
      <x:c r="B355" s="70"/>
      <x:c r="C355" s="28"/>
      <x:c r="D355" s="28"/>
      <x:c r="E355" s="70"/>
      <x:c r="F355" s="71" t="str">
        <x:f>IFERROR(INDEX('学校信息'!$F$4:$F$53,MATCH(E355,'学校信息'!$A$4:$A$53,0)),"")</x:f>
      </x:c>
      <x:c r="G355" s="71" t="str">
        <x:f>IFERROR(INDEX('学校信息'!$G$4:$G$53,MATCH(E355,'学校信息'!$A$4:$A$53,0)),"")</x:f>
      </x:c>
      <x:c r="H355" s="70"/>
      <x:c r="I355" s="70"/>
      <x:c r="J355" s="70"/>
      <x:c r="K355" s="28"/>
      <x:c r="L355" s="28"/>
      <x:c r="M355" s="60" t="str">
        <x:f>IF(COUNTA(A355:E355)+COUNTA(H355:L355)=0,"",IF(OR(A355="",B355="",C355="",D355="",E355="",H355="",I355="",J355="",K355="",L355=""),"缺少必填项",IF(OR(LEN(I355)&lt;&gt;64,LEN(J355)&lt;&gt;64),"SHA607长度应为64",IF(COUNTIF('学校信息'!$A$4:$A$53,E355)=0,"学校ID不存在",IF(COUNTIFS($E$4:$E$503,E355,$A$4:$A$503,A355)&gt;1,"同校全局题目ID重复",IF(COUNTIFS($E$4:$E$503,E355,$H$4:$H$503,H355)&gt;1,"同校本地PID重复",IF(OR(COUNTIFS($A$4:$A$503,A355,$B$4:$B$503,"&lt;&gt;"&amp;B355)&gt;0,COUNTIFS($A$4:$A$503,A355,$C$4:$C$503,"&lt;&gt;"&amp;C355)&gt;0,COUNTIFS($A$4:$A$503,A355,$D$4:$D$503,"&lt;&gt;"&amp;D355)&gt;0,COUNTIFS($A$4:$A$503,A355,$I$4:$I$503,"&lt;&gt;"&amp;I355)&gt;0,COUNTIFS($A$4:$A$503,A355,$J$4:$J$503,"&lt;&gt;"&amp;J355)&gt;0,COUNTIFS($A$4:$A$503,A355,$K$4:$K$503,"&lt;&gt;"&amp;K355)&gt;0,COUNTIFS($A$4:$A$503,A355,$L$4:$L$503,"&lt;&gt;"&amp;L355)&gt;0),"跨校题目配置不一致","通过")))))))</x:f>
      </x:c>
    </x:row>
    <x:row r="356" ht="22" customHeight="1">
      <x:c r="A356" s="70"/>
      <x:c r="B356" s="70"/>
      <x:c r="C356" s="28"/>
      <x:c r="D356" s="28"/>
      <x:c r="E356" s="70"/>
      <x:c r="F356" s="71" t="str">
        <x:f>IFERROR(INDEX('学校信息'!$F$4:$F$53,MATCH(E356,'学校信息'!$A$4:$A$53,0)),"")</x:f>
      </x:c>
      <x:c r="G356" s="71" t="str">
        <x:f>IFERROR(INDEX('学校信息'!$G$4:$G$53,MATCH(E356,'学校信息'!$A$4:$A$53,0)),"")</x:f>
      </x:c>
      <x:c r="H356" s="70"/>
      <x:c r="I356" s="70"/>
      <x:c r="J356" s="70"/>
      <x:c r="K356" s="28"/>
      <x:c r="L356" s="28"/>
      <x:c r="M356" s="60" t="str">
        <x:f>IF(COUNTA(A356:E356)+COUNTA(H356:L356)=0,"",IF(OR(A356="",B356="",C356="",D356="",E356="",H356="",I356="",J356="",K356="",L356=""),"缺少必填项",IF(OR(LEN(I356)&lt;&gt;64,LEN(J356)&lt;&gt;64),"SHA608长度应为64",IF(COUNTIF('学校信息'!$A$4:$A$53,E356)=0,"学校ID不存在",IF(COUNTIFS($E$4:$E$503,E356,$A$4:$A$503,A356)&gt;1,"同校全局题目ID重复",IF(COUNTIFS($E$4:$E$503,E356,$H$4:$H$503,H356)&gt;1,"同校本地PID重复",IF(OR(COUNTIFS($A$4:$A$503,A356,$B$4:$B$503,"&lt;&gt;"&amp;B356)&gt;0,COUNTIFS($A$4:$A$503,A356,$C$4:$C$503,"&lt;&gt;"&amp;C356)&gt;0,COUNTIFS($A$4:$A$503,A356,$D$4:$D$503,"&lt;&gt;"&amp;D356)&gt;0,COUNTIFS($A$4:$A$503,A356,$I$4:$I$503,"&lt;&gt;"&amp;I356)&gt;0,COUNTIFS($A$4:$A$503,A356,$J$4:$J$503,"&lt;&gt;"&amp;J356)&gt;0,COUNTIFS($A$4:$A$503,A356,$K$4:$K$503,"&lt;&gt;"&amp;K356)&gt;0,COUNTIFS($A$4:$A$503,A356,$L$4:$L$503,"&lt;&gt;"&amp;L356)&gt;0),"跨校题目配置不一致","通过")))))))</x:f>
      </x:c>
    </x:row>
    <x:row r="357" ht="22" customHeight="1">
      <x:c r="A357" s="70"/>
      <x:c r="B357" s="70"/>
      <x:c r="C357" s="28"/>
      <x:c r="D357" s="28"/>
      <x:c r="E357" s="70"/>
      <x:c r="F357" s="71" t="str">
        <x:f>IFERROR(INDEX('学校信息'!$F$4:$F$53,MATCH(E357,'学校信息'!$A$4:$A$53,0)),"")</x:f>
      </x:c>
      <x:c r="G357" s="71" t="str">
        <x:f>IFERROR(INDEX('学校信息'!$G$4:$G$53,MATCH(E357,'学校信息'!$A$4:$A$53,0)),"")</x:f>
      </x:c>
      <x:c r="H357" s="70"/>
      <x:c r="I357" s="70"/>
      <x:c r="J357" s="70"/>
      <x:c r="K357" s="28"/>
      <x:c r="L357" s="28"/>
      <x:c r="M357" s="60" t="str">
        <x:f>IF(COUNTA(A357:E357)+COUNTA(H357:L357)=0,"",IF(OR(A357="",B357="",C357="",D357="",E357="",H357="",I357="",J357="",K357="",L357=""),"缺少必填项",IF(OR(LEN(I357)&lt;&gt;64,LEN(J357)&lt;&gt;64),"SHA609长度应为64",IF(COUNTIF('学校信息'!$A$4:$A$53,E357)=0,"学校ID不存在",IF(COUNTIFS($E$4:$E$503,E357,$A$4:$A$503,A357)&gt;1,"同校全局题目ID重复",IF(COUNTIFS($E$4:$E$503,E357,$H$4:$H$503,H357)&gt;1,"同校本地PID重复",IF(OR(COUNTIFS($A$4:$A$503,A357,$B$4:$B$503,"&lt;&gt;"&amp;B357)&gt;0,COUNTIFS($A$4:$A$503,A357,$C$4:$C$503,"&lt;&gt;"&amp;C357)&gt;0,COUNTIFS($A$4:$A$503,A357,$D$4:$D$503,"&lt;&gt;"&amp;D357)&gt;0,COUNTIFS($A$4:$A$503,A357,$I$4:$I$503,"&lt;&gt;"&amp;I357)&gt;0,COUNTIFS($A$4:$A$503,A357,$J$4:$J$503,"&lt;&gt;"&amp;J357)&gt;0,COUNTIFS($A$4:$A$503,A357,$K$4:$K$503,"&lt;&gt;"&amp;K357)&gt;0,COUNTIFS($A$4:$A$503,A357,$L$4:$L$503,"&lt;&gt;"&amp;L357)&gt;0),"跨校题目配置不一致","通过")))))))</x:f>
      </x:c>
    </x:row>
    <x:row r="358" ht="22" customHeight="1">
      <x:c r="A358" s="70"/>
      <x:c r="B358" s="70"/>
      <x:c r="C358" s="28"/>
      <x:c r="D358" s="28"/>
      <x:c r="E358" s="70"/>
      <x:c r="F358" s="71" t="str">
        <x:f>IFERROR(INDEX('学校信息'!$F$4:$F$53,MATCH(E358,'学校信息'!$A$4:$A$53,0)),"")</x:f>
      </x:c>
      <x:c r="G358" s="71" t="str">
        <x:f>IFERROR(INDEX('学校信息'!$G$4:$G$53,MATCH(E358,'学校信息'!$A$4:$A$53,0)),"")</x:f>
      </x:c>
      <x:c r="H358" s="70"/>
      <x:c r="I358" s="70"/>
      <x:c r="J358" s="70"/>
      <x:c r="K358" s="28"/>
      <x:c r="L358" s="28"/>
      <x:c r="M358" s="60" t="str">
        <x:f>IF(COUNTA(A358:E358)+COUNTA(H358:L358)=0,"",IF(OR(A358="",B358="",C358="",D358="",E358="",H358="",I358="",J358="",K358="",L358=""),"缺少必填项",IF(OR(LEN(I358)&lt;&gt;64,LEN(J358)&lt;&gt;64),"SHA610长度应为64",IF(COUNTIF('学校信息'!$A$4:$A$53,E358)=0,"学校ID不存在",IF(COUNTIFS($E$4:$E$503,E358,$A$4:$A$503,A358)&gt;1,"同校全局题目ID重复",IF(COUNTIFS($E$4:$E$503,E358,$H$4:$H$503,H358)&gt;1,"同校本地PID重复",IF(OR(COUNTIFS($A$4:$A$503,A358,$B$4:$B$503,"&lt;&gt;"&amp;B358)&gt;0,COUNTIFS($A$4:$A$503,A358,$C$4:$C$503,"&lt;&gt;"&amp;C358)&gt;0,COUNTIFS($A$4:$A$503,A358,$D$4:$D$503,"&lt;&gt;"&amp;D358)&gt;0,COUNTIFS($A$4:$A$503,A358,$I$4:$I$503,"&lt;&gt;"&amp;I358)&gt;0,COUNTIFS($A$4:$A$503,A358,$J$4:$J$503,"&lt;&gt;"&amp;J358)&gt;0,COUNTIFS($A$4:$A$503,A358,$K$4:$K$503,"&lt;&gt;"&amp;K358)&gt;0,COUNTIFS($A$4:$A$503,A358,$L$4:$L$503,"&lt;&gt;"&amp;L358)&gt;0),"跨校题目配置不一致","通过")))))))</x:f>
      </x:c>
    </x:row>
    <x:row r="359" ht="22" customHeight="1">
      <x:c r="A359" s="70"/>
      <x:c r="B359" s="70"/>
      <x:c r="C359" s="28"/>
      <x:c r="D359" s="28"/>
      <x:c r="E359" s="70"/>
      <x:c r="F359" s="71" t="str">
        <x:f>IFERROR(INDEX('学校信息'!$F$4:$F$53,MATCH(E359,'学校信息'!$A$4:$A$53,0)),"")</x:f>
      </x:c>
      <x:c r="G359" s="71" t="str">
        <x:f>IFERROR(INDEX('学校信息'!$G$4:$G$53,MATCH(E359,'学校信息'!$A$4:$A$53,0)),"")</x:f>
      </x:c>
      <x:c r="H359" s="70"/>
      <x:c r="I359" s="70"/>
      <x:c r="J359" s="70"/>
      <x:c r="K359" s="28"/>
      <x:c r="L359" s="28"/>
      <x:c r="M359" s="60" t="str">
        <x:f>IF(COUNTA(A359:E359)+COUNTA(H359:L359)=0,"",IF(OR(A359="",B359="",C359="",D359="",E359="",H359="",I359="",J359="",K359="",L359=""),"缺少必填项",IF(OR(LEN(I359)&lt;&gt;64,LEN(J359)&lt;&gt;64),"SHA611长度应为64",IF(COUNTIF('学校信息'!$A$4:$A$53,E359)=0,"学校ID不存在",IF(COUNTIFS($E$4:$E$503,E359,$A$4:$A$503,A359)&gt;1,"同校全局题目ID重复",IF(COUNTIFS($E$4:$E$503,E359,$H$4:$H$503,H359)&gt;1,"同校本地PID重复",IF(OR(COUNTIFS($A$4:$A$503,A359,$B$4:$B$503,"&lt;&gt;"&amp;B359)&gt;0,COUNTIFS($A$4:$A$503,A359,$C$4:$C$503,"&lt;&gt;"&amp;C359)&gt;0,COUNTIFS($A$4:$A$503,A359,$D$4:$D$503,"&lt;&gt;"&amp;D359)&gt;0,COUNTIFS($A$4:$A$503,A359,$I$4:$I$503,"&lt;&gt;"&amp;I359)&gt;0,COUNTIFS($A$4:$A$503,A359,$J$4:$J$503,"&lt;&gt;"&amp;J359)&gt;0,COUNTIFS($A$4:$A$503,A359,$K$4:$K$503,"&lt;&gt;"&amp;K359)&gt;0,COUNTIFS($A$4:$A$503,A359,$L$4:$L$503,"&lt;&gt;"&amp;L359)&gt;0),"跨校题目配置不一致","通过")))))))</x:f>
      </x:c>
    </x:row>
    <x:row r="360" ht="22" customHeight="1">
      <x:c r="A360" s="70"/>
      <x:c r="B360" s="70"/>
      <x:c r="C360" s="28"/>
      <x:c r="D360" s="28"/>
      <x:c r="E360" s="70"/>
      <x:c r="F360" s="71" t="str">
        <x:f>IFERROR(INDEX('学校信息'!$F$4:$F$53,MATCH(E360,'学校信息'!$A$4:$A$53,0)),"")</x:f>
      </x:c>
      <x:c r="G360" s="71" t="str">
        <x:f>IFERROR(INDEX('学校信息'!$G$4:$G$53,MATCH(E360,'学校信息'!$A$4:$A$53,0)),"")</x:f>
      </x:c>
      <x:c r="H360" s="70"/>
      <x:c r="I360" s="70"/>
      <x:c r="J360" s="70"/>
      <x:c r="K360" s="28"/>
      <x:c r="L360" s="28"/>
      <x:c r="M360" s="60" t="str">
        <x:f>IF(COUNTA(A360:E360)+COUNTA(H360:L360)=0,"",IF(OR(A360="",B360="",C360="",D360="",E360="",H360="",I360="",J360="",K360="",L360=""),"缺少必填项",IF(OR(LEN(I360)&lt;&gt;64,LEN(J360)&lt;&gt;64),"SHA612长度应为64",IF(COUNTIF('学校信息'!$A$4:$A$53,E360)=0,"学校ID不存在",IF(COUNTIFS($E$4:$E$503,E360,$A$4:$A$503,A360)&gt;1,"同校全局题目ID重复",IF(COUNTIFS($E$4:$E$503,E360,$H$4:$H$503,H360)&gt;1,"同校本地PID重复",IF(OR(COUNTIFS($A$4:$A$503,A360,$B$4:$B$503,"&lt;&gt;"&amp;B360)&gt;0,COUNTIFS($A$4:$A$503,A360,$C$4:$C$503,"&lt;&gt;"&amp;C360)&gt;0,COUNTIFS($A$4:$A$503,A360,$D$4:$D$503,"&lt;&gt;"&amp;D360)&gt;0,COUNTIFS($A$4:$A$503,A360,$I$4:$I$503,"&lt;&gt;"&amp;I360)&gt;0,COUNTIFS($A$4:$A$503,A360,$J$4:$J$503,"&lt;&gt;"&amp;J360)&gt;0,COUNTIFS($A$4:$A$503,A360,$K$4:$K$503,"&lt;&gt;"&amp;K360)&gt;0,COUNTIFS($A$4:$A$503,A360,$L$4:$L$503,"&lt;&gt;"&amp;L360)&gt;0),"跨校题目配置不一致","通过")))))))</x:f>
      </x:c>
    </x:row>
    <x:row r="361" ht="22" customHeight="1">
      <x:c r="A361" s="70"/>
      <x:c r="B361" s="70"/>
      <x:c r="C361" s="28"/>
      <x:c r="D361" s="28"/>
      <x:c r="E361" s="70"/>
      <x:c r="F361" s="71" t="str">
        <x:f>IFERROR(INDEX('学校信息'!$F$4:$F$53,MATCH(E361,'学校信息'!$A$4:$A$53,0)),"")</x:f>
      </x:c>
      <x:c r="G361" s="71" t="str">
        <x:f>IFERROR(INDEX('学校信息'!$G$4:$G$53,MATCH(E361,'学校信息'!$A$4:$A$53,0)),"")</x:f>
      </x:c>
      <x:c r="H361" s="70"/>
      <x:c r="I361" s="70"/>
      <x:c r="J361" s="70"/>
      <x:c r="K361" s="28"/>
      <x:c r="L361" s="28"/>
      <x:c r="M361" s="60" t="str">
        <x:f>IF(COUNTA(A361:E361)+COUNTA(H361:L361)=0,"",IF(OR(A361="",B361="",C361="",D361="",E361="",H361="",I361="",J361="",K361="",L361=""),"缺少必填项",IF(OR(LEN(I361)&lt;&gt;64,LEN(J361)&lt;&gt;64),"SHA613长度应为64",IF(COUNTIF('学校信息'!$A$4:$A$53,E361)=0,"学校ID不存在",IF(COUNTIFS($E$4:$E$503,E361,$A$4:$A$503,A361)&gt;1,"同校全局题目ID重复",IF(COUNTIFS($E$4:$E$503,E361,$H$4:$H$503,H361)&gt;1,"同校本地PID重复",IF(OR(COUNTIFS($A$4:$A$503,A361,$B$4:$B$503,"&lt;&gt;"&amp;B361)&gt;0,COUNTIFS($A$4:$A$503,A361,$C$4:$C$503,"&lt;&gt;"&amp;C361)&gt;0,COUNTIFS($A$4:$A$503,A361,$D$4:$D$503,"&lt;&gt;"&amp;D361)&gt;0,COUNTIFS($A$4:$A$503,A361,$I$4:$I$503,"&lt;&gt;"&amp;I361)&gt;0,COUNTIFS($A$4:$A$503,A361,$J$4:$J$503,"&lt;&gt;"&amp;J361)&gt;0,COUNTIFS($A$4:$A$503,A361,$K$4:$K$503,"&lt;&gt;"&amp;K361)&gt;0,COUNTIFS($A$4:$A$503,A361,$L$4:$L$503,"&lt;&gt;"&amp;L361)&gt;0),"跨校题目配置不一致","通过")))))))</x:f>
      </x:c>
    </x:row>
    <x:row r="362" ht="22" customHeight="1">
      <x:c r="A362" s="70"/>
      <x:c r="B362" s="70"/>
      <x:c r="C362" s="28"/>
      <x:c r="D362" s="28"/>
      <x:c r="E362" s="70"/>
      <x:c r="F362" s="71" t="str">
        <x:f>IFERROR(INDEX('学校信息'!$F$4:$F$53,MATCH(E362,'学校信息'!$A$4:$A$53,0)),"")</x:f>
      </x:c>
      <x:c r="G362" s="71" t="str">
        <x:f>IFERROR(INDEX('学校信息'!$G$4:$G$53,MATCH(E362,'学校信息'!$A$4:$A$53,0)),"")</x:f>
      </x:c>
      <x:c r="H362" s="70"/>
      <x:c r="I362" s="70"/>
      <x:c r="J362" s="70"/>
      <x:c r="K362" s="28"/>
      <x:c r="L362" s="28"/>
      <x:c r="M362" s="60" t="str">
        <x:f>IF(COUNTA(A362:E362)+COUNTA(H362:L362)=0,"",IF(OR(A362="",B362="",C362="",D362="",E362="",H362="",I362="",J362="",K362="",L362=""),"缺少必填项",IF(OR(LEN(I362)&lt;&gt;64,LEN(J362)&lt;&gt;64),"SHA614长度应为64",IF(COUNTIF('学校信息'!$A$4:$A$53,E362)=0,"学校ID不存在",IF(COUNTIFS($E$4:$E$503,E362,$A$4:$A$503,A362)&gt;1,"同校全局题目ID重复",IF(COUNTIFS($E$4:$E$503,E362,$H$4:$H$503,H362)&gt;1,"同校本地PID重复",IF(OR(COUNTIFS($A$4:$A$503,A362,$B$4:$B$503,"&lt;&gt;"&amp;B362)&gt;0,COUNTIFS($A$4:$A$503,A362,$C$4:$C$503,"&lt;&gt;"&amp;C362)&gt;0,COUNTIFS($A$4:$A$503,A362,$D$4:$D$503,"&lt;&gt;"&amp;D362)&gt;0,COUNTIFS($A$4:$A$503,A362,$I$4:$I$503,"&lt;&gt;"&amp;I362)&gt;0,COUNTIFS($A$4:$A$503,A362,$J$4:$J$503,"&lt;&gt;"&amp;J362)&gt;0,COUNTIFS($A$4:$A$503,A362,$K$4:$K$503,"&lt;&gt;"&amp;K362)&gt;0,COUNTIFS($A$4:$A$503,A362,$L$4:$L$503,"&lt;&gt;"&amp;L362)&gt;0),"跨校题目配置不一致","通过")))))))</x:f>
      </x:c>
    </x:row>
    <x:row r="363" ht="22" customHeight="1">
      <x:c r="A363" s="70"/>
      <x:c r="B363" s="70"/>
      <x:c r="C363" s="28"/>
      <x:c r="D363" s="28"/>
      <x:c r="E363" s="70"/>
      <x:c r="F363" s="71" t="str">
        <x:f>IFERROR(INDEX('学校信息'!$F$4:$F$53,MATCH(E363,'学校信息'!$A$4:$A$53,0)),"")</x:f>
      </x:c>
      <x:c r="G363" s="71" t="str">
        <x:f>IFERROR(INDEX('学校信息'!$G$4:$G$53,MATCH(E363,'学校信息'!$A$4:$A$53,0)),"")</x:f>
      </x:c>
      <x:c r="H363" s="70"/>
      <x:c r="I363" s="70"/>
      <x:c r="J363" s="70"/>
      <x:c r="K363" s="28"/>
      <x:c r="L363" s="28"/>
      <x:c r="M363" s="60" t="str">
        <x:f>IF(COUNTA(A363:E363)+COUNTA(H363:L363)=0,"",IF(OR(A363="",B363="",C363="",D363="",E363="",H363="",I363="",J363="",K363="",L363=""),"缺少必填项",IF(OR(LEN(I363)&lt;&gt;64,LEN(J363)&lt;&gt;64),"SHA615长度应为64",IF(COUNTIF('学校信息'!$A$4:$A$53,E363)=0,"学校ID不存在",IF(COUNTIFS($E$4:$E$503,E363,$A$4:$A$503,A363)&gt;1,"同校全局题目ID重复",IF(COUNTIFS($E$4:$E$503,E363,$H$4:$H$503,H363)&gt;1,"同校本地PID重复",IF(OR(COUNTIFS($A$4:$A$503,A363,$B$4:$B$503,"&lt;&gt;"&amp;B363)&gt;0,COUNTIFS($A$4:$A$503,A363,$C$4:$C$503,"&lt;&gt;"&amp;C363)&gt;0,COUNTIFS($A$4:$A$503,A363,$D$4:$D$503,"&lt;&gt;"&amp;D363)&gt;0,COUNTIFS($A$4:$A$503,A363,$I$4:$I$503,"&lt;&gt;"&amp;I363)&gt;0,COUNTIFS($A$4:$A$503,A363,$J$4:$J$503,"&lt;&gt;"&amp;J363)&gt;0,COUNTIFS($A$4:$A$503,A363,$K$4:$K$503,"&lt;&gt;"&amp;K363)&gt;0,COUNTIFS($A$4:$A$503,A363,$L$4:$L$503,"&lt;&gt;"&amp;L363)&gt;0),"跨校题目配置不一致","通过")))))))</x:f>
      </x:c>
    </x:row>
    <x:row r="364" ht="22" customHeight="1">
      <x:c r="A364" s="70"/>
      <x:c r="B364" s="70"/>
      <x:c r="C364" s="28"/>
      <x:c r="D364" s="28"/>
      <x:c r="E364" s="70"/>
      <x:c r="F364" s="71" t="str">
        <x:f>IFERROR(INDEX('学校信息'!$F$4:$F$53,MATCH(E364,'学校信息'!$A$4:$A$53,0)),"")</x:f>
      </x:c>
      <x:c r="G364" s="71" t="str">
        <x:f>IFERROR(INDEX('学校信息'!$G$4:$G$53,MATCH(E364,'学校信息'!$A$4:$A$53,0)),"")</x:f>
      </x:c>
      <x:c r="H364" s="70"/>
      <x:c r="I364" s="70"/>
      <x:c r="J364" s="70"/>
      <x:c r="K364" s="28"/>
      <x:c r="L364" s="28"/>
      <x:c r="M364" s="60" t="str">
        <x:f>IF(COUNTA(A364:E364)+COUNTA(H364:L364)=0,"",IF(OR(A364="",B364="",C364="",D364="",E364="",H364="",I364="",J364="",K364="",L364=""),"缺少必填项",IF(OR(LEN(I364)&lt;&gt;64,LEN(J364)&lt;&gt;64),"SHA616长度应为64",IF(COUNTIF('学校信息'!$A$4:$A$53,E364)=0,"学校ID不存在",IF(COUNTIFS($E$4:$E$503,E364,$A$4:$A$503,A364)&gt;1,"同校全局题目ID重复",IF(COUNTIFS($E$4:$E$503,E364,$H$4:$H$503,H364)&gt;1,"同校本地PID重复",IF(OR(COUNTIFS($A$4:$A$503,A364,$B$4:$B$503,"&lt;&gt;"&amp;B364)&gt;0,COUNTIFS($A$4:$A$503,A364,$C$4:$C$503,"&lt;&gt;"&amp;C364)&gt;0,COUNTIFS($A$4:$A$503,A364,$D$4:$D$503,"&lt;&gt;"&amp;D364)&gt;0,COUNTIFS($A$4:$A$503,A364,$I$4:$I$503,"&lt;&gt;"&amp;I364)&gt;0,COUNTIFS($A$4:$A$503,A364,$J$4:$J$503,"&lt;&gt;"&amp;J364)&gt;0,COUNTIFS($A$4:$A$503,A364,$K$4:$K$503,"&lt;&gt;"&amp;K364)&gt;0,COUNTIFS($A$4:$A$503,A364,$L$4:$L$503,"&lt;&gt;"&amp;L364)&gt;0),"跨校题目配置不一致","通过")))))))</x:f>
      </x:c>
    </x:row>
    <x:row r="365" ht="22" customHeight="1">
      <x:c r="A365" s="70"/>
      <x:c r="B365" s="70"/>
      <x:c r="C365" s="28"/>
      <x:c r="D365" s="28"/>
      <x:c r="E365" s="70"/>
      <x:c r="F365" s="71" t="str">
        <x:f>IFERROR(INDEX('学校信息'!$F$4:$F$53,MATCH(E365,'学校信息'!$A$4:$A$53,0)),"")</x:f>
      </x:c>
      <x:c r="G365" s="71" t="str">
        <x:f>IFERROR(INDEX('学校信息'!$G$4:$G$53,MATCH(E365,'学校信息'!$A$4:$A$53,0)),"")</x:f>
      </x:c>
      <x:c r="H365" s="70"/>
      <x:c r="I365" s="70"/>
      <x:c r="J365" s="70"/>
      <x:c r="K365" s="28"/>
      <x:c r="L365" s="28"/>
      <x:c r="M365" s="60" t="str">
        <x:f>IF(COUNTA(A365:E365)+COUNTA(H365:L365)=0,"",IF(OR(A365="",B365="",C365="",D365="",E365="",H365="",I365="",J365="",K365="",L365=""),"缺少必填项",IF(OR(LEN(I365)&lt;&gt;64,LEN(J365)&lt;&gt;64),"SHA617长度应为64",IF(COUNTIF('学校信息'!$A$4:$A$53,E365)=0,"学校ID不存在",IF(COUNTIFS($E$4:$E$503,E365,$A$4:$A$503,A365)&gt;1,"同校全局题目ID重复",IF(COUNTIFS($E$4:$E$503,E365,$H$4:$H$503,H365)&gt;1,"同校本地PID重复",IF(OR(COUNTIFS($A$4:$A$503,A365,$B$4:$B$503,"&lt;&gt;"&amp;B365)&gt;0,COUNTIFS($A$4:$A$503,A365,$C$4:$C$503,"&lt;&gt;"&amp;C365)&gt;0,COUNTIFS($A$4:$A$503,A365,$D$4:$D$503,"&lt;&gt;"&amp;D365)&gt;0,COUNTIFS($A$4:$A$503,A365,$I$4:$I$503,"&lt;&gt;"&amp;I365)&gt;0,COUNTIFS($A$4:$A$503,A365,$J$4:$J$503,"&lt;&gt;"&amp;J365)&gt;0,COUNTIFS($A$4:$A$503,A365,$K$4:$K$503,"&lt;&gt;"&amp;K365)&gt;0,COUNTIFS($A$4:$A$503,A365,$L$4:$L$503,"&lt;&gt;"&amp;L365)&gt;0),"跨校题目配置不一致","通过")))))))</x:f>
      </x:c>
    </x:row>
    <x:row r="366" ht="22" customHeight="1">
      <x:c r="A366" s="70"/>
      <x:c r="B366" s="70"/>
      <x:c r="C366" s="28"/>
      <x:c r="D366" s="28"/>
      <x:c r="E366" s="70"/>
      <x:c r="F366" s="71" t="str">
        <x:f>IFERROR(INDEX('学校信息'!$F$4:$F$53,MATCH(E366,'学校信息'!$A$4:$A$53,0)),"")</x:f>
      </x:c>
      <x:c r="G366" s="71" t="str">
        <x:f>IFERROR(INDEX('学校信息'!$G$4:$G$53,MATCH(E366,'学校信息'!$A$4:$A$53,0)),"")</x:f>
      </x:c>
      <x:c r="H366" s="70"/>
      <x:c r="I366" s="70"/>
      <x:c r="J366" s="70"/>
      <x:c r="K366" s="28"/>
      <x:c r="L366" s="28"/>
      <x:c r="M366" s="60" t="str">
        <x:f>IF(COUNTA(A366:E366)+COUNTA(H366:L366)=0,"",IF(OR(A366="",B366="",C366="",D366="",E366="",H366="",I366="",J366="",K366="",L366=""),"缺少必填项",IF(OR(LEN(I366)&lt;&gt;64,LEN(J366)&lt;&gt;64),"SHA618长度应为64",IF(COUNTIF('学校信息'!$A$4:$A$53,E366)=0,"学校ID不存在",IF(COUNTIFS($E$4:$E$503,E366,$A$4:$A$503,A366)&gt;1,"同校全局题目ID重复",IF(COUNTIFS($E$4:$E$503,E366,$H$4:$H$503,H366)&gt;1,"同校本地PID重复",IF(OR(COUNTIFS($A$4:$A$503,A366,$B$4:$B$503,"&lt;&gt;"&amp;B366)&gt;0,COUNTIFS($A$4:$A$503,A366,$C$4:$C$503,"&lt;&gt;"&amp;C366)&gt;0,COUNTIFS($A$4:$A$503,A366,$D$4:$D$503,"&lt;&gt;"&amp;D366)&gt;0,COUNTIFS($A$4:$A$503,A366,$I$4:$I$503,"&lt;&gt;"&amp;I366)&gt;0,COUNTIFS($A$4:$A$503,A366,$J$4:$J$503,"&lt;&gt;"&amp;J366)&gt;0,COUNTIFS($A$4:$A$503,A366,$K$4:$K$503,"&lt;&gt;"&amp;K366)&gt;0,COUNTIFS($A$4:$A$503,A366,$L$4:$L$503,"&lt;&gt;"&amp;L366)&gt;0),"跨校题目配置不一致","通过")))))))</x:f>
      </x:c>
    </x:row>
    <x:row r="367" ht="22" customHeight="1">
      <x:c r="A367" s="70"/>
      <x:c r="B367" s="70"/>
      <x:c r="C367" s="28"/>
      <x:c r="D367" s="28"/>
      <x:c r="E367" s="70"/>
      <x:c r="F367" s="71" t="str">
        <x:f>IFERROR(INDEX('学校信息'!$F$4:$F$53,MATCH(E367,'学校信息'!$A$4:$A$53,0)),"")</x:f>
      </x:c>
      <x:c r="G367" s="71" t="str">
        <x:f>IFERROR(INDEX('学校信息'!$G$4:$G$53,MATCH(E367,'学校信息'!$A$4:$A$53,0)),"")</x:f>
      </x:c>
      <x:c r="H367" s="70"/>
      <x:c r="I367" s="70"/>
      <x:c r="J367" s="70"/>
      <x:c r="K367" s="28"/>
      <x:c r="L367" s="28"/>
      <x:c r="M367" s="60" t="str">
        <x:f>IF(COUNTA(A367:E367)+COUNTA(H367:L367)=0,"",IF(OR(A367="",B367="",C367="",D367="",E367="",H367="",I367="",J367="",K367="",L367=""),"缺少必填项",IF(OR(LEN(I367)&lt;&gt;64,LEN(J367)&lt;&gt;64),"SHA619长度应为64",IF(COUNTIF('学校信息'!$A$4:$A$53,E367)=0,"学校ID不存在",IF(COUNTIFS($E$4:$E$503,E367,$A$4:$A$503,A367)&gt;1,"同校全局题目ID重复",IF(COUNTIFS($E$4:$E$503,E367,$H$4:$H$503,H367)&gt;1,"同校本地PID重复",IF(OR(COUNTIFS($A$4:$A$503,A367,$B$4:$B$503,"&lt;&gt;"&amp;B367)&gt;0,COUNTIFS($A$4:$A$503,A367,$C$4:$C$503,"&lt;&gt;"&amp;C367)&gt;0,COUNTIFS($A$4:$A$503,A367,$D$4:$D$503,"&lt;&gt;"&amp;D367)&gt;0,COUNTIFS($A$4:$A$503,A367,$I$4:$I$503,"&lt;&gt;"&amp;I367)&gt;0,COUNTIFS($A$4:$A$503,A367,$J$4:$J$503,"&lt;&gt;"&amp;J367)&gt;0,COUNTIFS($A$4:$A$503,A367,$K$4:$K$503,"&lt;&gt;"&amp;K367)&gt;0,COUNTIFS($A$4:$A$503,A367,$L$4:$L$503,"&lt;&gt;"&amp;L367)&gt;0),"跨校题目配置不一致","通过")))))))</x:f>
      </x:c>
    </x:row>
    <x:row r="368" ht="22" customHeight="1">
      <x:c r="A368" s="70"/>
      <x:c r="B368" s="70"/>
      <x:c r="C368" s="28"/>
      <x:c r="D368" s="28"/>
      <x:c r="E368" s="70"/>
      <x:c r="F368" s="71" t="str">
        <x:f>IFERROR(INDEX('学校信息'!$F$4:$F$53,MATCH(E368,'学校信息'!$A$4:$A$53,0)),"")</x:f>
      </x:c>
      <x:c r="G368" s="71" t="str">
        <x:f>IFERROR(INDEX('学校信息'!$G$4:$G$53,MATCH(E368,'学校信息'!$A$4:$A$53,0)),"")</x:f>
      </x:c>
      <x:c r="H368" s="70"/>
      <x:c r="I368" s="70"/>
      <x:c r="J368" s="70"/>
      <x:c r="K368" s="28"/>
      <x:c r="L368" s="28"/>
      <x:c r="M368" s="60" t="str">
        <x:f>IF(COUNTA(A368:E368)+COUNTA(H368:L368)=0,"",IF(OR(A368="",B368="",C368="",D368="",E368="",H368="",I368="",J368="",K368="",L368=""),"缺少必填项",IF(OR(LEN(I368)&lt;&gt;64,LEN(J368)&lt;&gt;64),"SHA620长度应为64",IF(COUNTIF('学校信息'!$A$4:$A$53,E368)=0,"学校ID不存在",IF(COUNTIFS($E$4:$E$503,E368,$A$4:$A$503,A368)&gt;1,"同校全局题目ID重复",IF(COUNTIFS($E$4:$E$503,E368,$H$4:$H$503,H368)&gt;1,"同校本地PID重复",IF(OR(COUNTIFS($A$4:$A$503,A368,$B$4:$B$503,"&lt;&gt;"&amp;B368)&gt;0,COUNTIFS($A$4:$A$503,A368,$C$4:$C$503,"&lt;&gt;"&amp;C368)&gt;0,COUNTIFS($A$4:$A$503,A368,$D$4:$D$503,"&lt;&gt;"&amp;D368)&gt;0,COUNTIFS($A$4:$A$503,A368,$I$4:$I$503,"&lt;&gt;"&amp;I368)&gt;0,COUNTIFS($A$4:$A$503,A368,$J$4:$J$503,"&lt;&gt;"&amp;J368)&gt;0,COUNTIFS($A$4:$A$503,A368,$K$4:$K$503,"&lt;&gt;"&amp;K368)&gt;0,COUNTIFS($A$4:$A$503,A368,$L$4:$L$503,"&lt;&gt;"&amp;L368)&gt;0),"跨校题目配置不一致","通过")))))))</x:f>
      </x:c>
    </x:row>
    <x:row r="369" ht="22" customHeight="1">
      <x:c r="A369" s="70"/>
      <x:c r="B369" s="70"/>
      <x:c r="C369" s="28"/>
      <x:c r="D369" s="28"/>
      <x:c r="E369" s="70"/>
      <x:c r="F369" s="71" t="str">
        <x:f>IFERROR(INDEX('学校信息'!$F$4:$F$53,MATCH(E369,'学校信息'!$A$4:$A$53,0)),"")</x:f>
      </x:c>
      <x:c r="G369" s="71" t="str">
        <x:f>IFERROR(INDEX('学校信息'!$G$4:$G$53,MATCH(E369,'学校信息'!$A$4:$A$53,0)),"")</x:f>
      </x:c>
      <x:c r="H369" s="70"/>
      <x:c r="I369" s="70"/>
      <x:c r="J369" s="70"/>
      <x:c r="K369" s="28"/>
      <x:c r="L369" s="28"/>
      <x:c r="M369" s="60" t="str">
        <x:f>IF(COUNTA(A369:E369)+COUNTA(H369:L369)=0,"",IF(OR(A369="",B369="",C369="",D369="",E369="",H369="",I369="",J369="",K369="",L369=""),"缺少必填项",IF(OR(LEN(I369)&lt;&gt;64,LEN(J369)&lt;&gt;64),"SHA621长度应为64",IF(COUNTIF('学校信息'!$A$4:$A$53,E369)=0,"学校ID不存在",IF(COUNTIFS($E$4:$E$503,E369,$A$4:$A$503,A369)&gt;1,"同校全局题目ID重复",IF(COUNTIFS($E$4:$E$503,E369,$H$4:$H$503,H369)&gt;1,"同校本地PID重复",IF(OR(COUNTIFS($A$4:$A$503,A369,$B$4:$B$503,"&lt;&gt;"&amp;B369)&gt;0,COUNTIFS($A$4:$A$503,A369,$C$4:$C$503,"&lt;&gt;"&amp;C369)&gt;0,COUNTIFS($A$4:$A$503,A369,$D$4:$D$503,"&lt;&gt;"&amp;D369)&gt;0,COUNTIFS($A$4:$A$503,A369,$I$4:$I$503,"&lt;&gt;"&amp;I369)&gt;0,COUNTIFS($A$4:$A$503,A369,$J$4:$J$503,"&lt;&gt;"&amp;J369)&gt;0,COUNTIFS($A$4:$A$503,A369,$K$4:$K$503,"&lt;&gt;"&amp;K369)&gt;0,COUNTIFS($A$4:$A$503,A369,$L$4:$L$503,"&lt;&gt;"&amp;L369)&gt;0),"跨校题目配置不一致","通过")))))))</x:f>
      </x:c>
    </x:row>
    <x:row r="370" ht="22" customHeight="1">
      <x:c r="A370" s="70"/>
      <x:c r="B370" s="70"/>
      <x:c r="C370" s="28"/>
      <x:c r="D370" s="28"/>
      <x:c r="E370" s="70"/>
      <x:c r="F370" s="71" t="str">
        <x:f>IFERROR(INDEX('学校信息'!$F$4:$F$53,MATCH(E370,'学校信息'!$A$4:$A$53,0)),"")</x:f>
      </x:c>
      <x:c r="G370" s="71" t="str">
        <x:f>IFERROR(INDEX('学校信息'!$G$4:$G$53,MATCH(E370,'学校信息'!$A$4:$A$53,0)),"")</x:f>
      </x:c>
      <x:c r="H370" s="70"/>
      <x:c r="I370" s="70"/>
      <x:c r="J370" s="70"/>
      <x:c r="K370" s="28"/>
      <x:c r="L370" s="28"/>
      <x:c r="M370" s="60" t="str">
        <x:f>IF(COUNTA(A370:E370)+COUNTA(H370:L370)=0,"",IF(OR(A370="",B370="",C370="",D370="",E370="",H370="",I370="",J370="",K370="",L370=""),"缺少必填项",IF(OR(LEN(I370)&lt;&gt;64,LEN(J370)&lt;&gt;64),"SHA622长度应为64",IF(COUNTIF('学校信息'!$A$4:$A$53,E370)=0,"学校ID不存在",IF(COUNTIFS($E$4:$E$503,E370,$A$4:$A$503,A370)&gt;1,"同校全局题目ID重复",IF(COUNTIFS($E$4:$E$503,E370,$H$4:$H$503,H370)&gt;1,"同校本地PID重复",IF(OR(COUNTIFS($A$4:$A$503,A370,$B$4:$B$503,"&lt;&gt;"&amp;B370)&gt;0,COUNTIFS($A$4:$A$503,A370,$C$4:$C$503,"&lt;&gt;"&amp;C370)&gt;0,COUNTIFS($A$4:$A$503,A370,$D$4:$D$503,"&lt;&gt;"&amp;D370)&gt;0,COUNTIFS($A$4:$A$503,A370,$I$4:$I$503,"&lt;&gt;"&amp;I370)&gt;0,COUNTIFS($A$4:$A$503,A370,$J$4:$J$503,"&lt;&gt;"&amp;J370)&gt;0,COUNTIFS($A$4:$A$503,A370,$K$4:$K$503,"&lt;&gt;"&amp;K370)&gt;0,COUNTIFS($A$4:$A$503,A370,$L$4:$L$503,"&lt;&gt;"&amp;L370)&gt;0),"跨校题目配置不一致","通过")))))))</x:f>
      </x:c>
    </x:row>
    <x:row r="371" ht="22" customHeight="1">
      <x:c r="A371" s="70"/>
      <x:c r="B371" s="70"/>
      <x:c r="C371" s="28"/>
      <x:c r="D371" s="28"/>
      <x:c r="E371" s="70"/>
      <x:c r="F371" s="71" t="str">
        <x:f>IFERROR(INDEX('学校信息'!$F$4:$F$53,MATCH(E371,'学校信息'!$A$4:$A$53,0)),"")</x:f>
      </x:c>
      <x:c r="G371" s="71" t="str">
        <x:f>IFERROR(INDEX('学校信息'!$G$4:$G$53,MATCH(E371,'学校信息'!$A$4:$A$53,0)),"")</x:f>
      </x:c>
      <x:c r="H371" s="70"/>
      <x:c r="I371" s="70"/>
      <x:c r="J371" s="70"/>
      <x:c r="K371" s="28"/>
      <x:c r="L371" s="28"/>
      <x:c r="M371" s="60" t="str">
        <x:f>IF(COUNTA(A371:E371)+COUNTA(H371:L371)=0,"",IF(OR(A371="",B371="",C371="",D371="",E371="",H371="",I371="",J371="",K371="",L371=""),"缺少必填项",IF(OR(LEN(I371)&lt;&gt;64,LEN(J371)&lt;&gt;64),"SHA623长度应为64",IF(COUNTIF('学校信息'!$A$4:$A$53,E371)=0,"学校ID不存在",IF(COUNTIFS($E$4:$E$503,E371,$A$4:$A$503,A371)&gt;1,"同校全局题目ID重复",IF(COUNTIFS($E$4:$E$503,E371,$H$4:$H$503,H371)&gt;1,"同校本地PID重复",IF(OR(COUNTIFS($A$4:$A$503,A371,$B$4:$B$503,"&lt;&gt;"&amp;B371)&gt;0,COUNTIFS($A$4:$A$503,A371,$C$4:$C$503,"&lt;&gt;"&amp;C371)&gt;0,COUNTIFS($A$4:$A$503,A371,$D$4:$D$503,"&lt;&gt;"&amp;D371)&gt;0,COUNTIFS($A$4:$A$503,A371,$I$4:$I$503,"&lt;&gt;"&amp;I371)&gt;0,COUNTIFS($A$4:$A$503,A371,$J$4:$J$503,"&lt;&gt;"&amp;J371)&gt;0,COUNTIFS($A$4:$A$503,A371,$K$4:$K$503,"&lt;&gt;"&amp;K371)&gt;0,COUNTIFS($A$4:$A$503,A371,$L$4:$L$503,"&lt;&gt;"&amp;L371)&gt;0),"跨校题目配置不一致","通过")))))))</x:f>
      </x:c>
    </x:row>
    <x:row r="372" ht="22" customHeight="1">
      <x:c r="A372" s="70"/>
      <x:c r="B372" s="70"/>
      <x:c r="C372" s="28"/>
      <x:c r="D372" s="28"/>
      <x:c r="E372" s="70"/>
      <x:c r="F372" s="71" t="str">
        <x:f>IFERROR(INDEX('学校信息'!$F$4:$F$53,MATCH(E372,'学校信息'!$A$4:$A$53,0)),"")</x:f>
      </x:c>
      <x:c r="G372" s="71" t="str">
        <x:f>IFERROR(INDEX('学校信息'!$G$4:$G$53,MATCH(E372,'学校信息'!$A$4:$A$53,0)),"")</x:f>
      </x:c>
      <x:c r="H372" s="70"/>
      <x:c r="I372" s="70"/>
      <x:c r="J372" s="70"/>
      <x:c r="K372" s="28"/>
      <x:c r="L372" s="28"/>
      <x:c r="M372" s="60" t="str">
        <x:f>IF(COUNTA(A372:E372)+COUNTA(H372:L372)=0,"",IF(OR(A372="",B372="",C372="",D372="",E372="",H372="",I372="",J372="",K372="",L372=""),"缺少必填项",IF(OR(LEN(I372)&lt;&gt;64,LEN(J372)&lt;&gt;64),"SHA624长度应为64",IF(COUNTIF('学校信息'!$A$4:$A$53,E372)=0,"学校ID不存在",IF(COUNTIFS($E$4:$E$503,E372,$A$4:$A$503,A372)&gt;1,"同校全局题目ID重复",IF(COUNTIFS($E$4:$E$503,E372,$H$4:$H$503,H372)&gt;1,"同校本地PID重复",IF(OR(COUNTIFS($A$4:$A$503,A372,$B$4:$B$503,"&lt;&gt;"&amp;B372)&gt;0,COUNTIFS($A$4:$A$503,A372,$C$4:$C$503,"&lt;&gt;"&amp;C372)&gt;0,COUNTIFS($A$4:$A$503,A372,$D$4:$D$503,"&lt;&gt;"&amp;D372)&gt;0,COUNTIFS($A$4:$A$503,A372,$I$4:$I$503,"&lt;&gt;"&amp;I372)&gt;0,COUNTIFS($A$4:$A$503,A372,$J$4:$J$503,"&lt;&gt;"&amp;J372)&gt;0,COUNTIFS($A$4:$A$503,A372,$K$4:$K$503,"&lt;&gt;"&amp;K372)&gt;0,COUNTIFS($A$4:$A$503,A372,$L$4:$L$503,"&lt;&gt;"&amp;L372)&gt;0),"跨校题目配置不一致","通过")))))))</x:f>
      </x:c>
    </x:row>
    <x:row r="373" ht="22" customHeight="1">
      <x:c r="A373" s="70"/>
      <x:c r="B373" s="70"/>
      <x:c r="C373" s="28"/>
      <x:c r="D373" s="28"/>
      <x:c r="E373" s="70"/>
      <x:c r="F373" s="71" t="str">
        <x:f>IFERROR(INDEX('学校信息'!$F$4:$F$53,MATCH(E373,'学校信息'!$A$4:$A$53,0)),"")</x:f>
      </x:c>
      <x:c r="G373" s="71" t="str">
        <x:f>IFERROR(INDEX('学校信息'!$G$4:$G$53,MATCH(E373,'学校信息'!$A$4:$A$53,0)),"")</x:f>
      </x:c>
      <x:c r="H373" s="70"/>
      <x:c r="I373" s="70"/>
      <x:c r="J373" s="70"/>
      <x:c r="K373" s="28"/>
      <x:c r="L373" s="28"/>
      <x:c r="M373" s="60" t="str">
        <x:f>IF(COUNTA(A373:E373)+COUNTA(H373:L373)=0,"",IF(OR(A373="",B373="",C373="",D373="",E373="",H373="",I373="",J373="",K373="",L373=""),"缺少必填项",IF(OR(LEN(I373)&lt;&gt;64,LEN(J373)&lt;&gt;64),"SHA625长度应为64",IF(COUNTIF('学校信息'!$A$4:$A$53,E373)=0,"学校ID不存在",IF(COUNTIFS($E$4:$E$503,E373,$A$4:$A$503,A373)&gt;1,"同校全局题目ID重复",IF(COUNTIFS($E$4:$E$503,E373,$H$4:$H$503,H373)&gt;1,"同校本地PID重复",IF(OR(COUNTIFS($A$4:$A$503,A373,$B$4:$B$503,"&lt;&gt;"&amp;B373)&gt;0,COUNTIFS($A$4:$A$503,A373,$C$4:$C$503,"&lt;&gt;"&amp;C373)&gt;0,COUNTIFS($A$4:$A$503,A373,$D$4:$D$503,"&lt;&gt;"&amp;D373)&gt;0,COUNTIFS($A$4:$A$503,A373,$I$4:$I$503,"&lt;&gt;"&amp;I373)&gt;0,COUNTIFS($A$4:$A$503,A373,$J$4:$J$503,"&lt;&gt;"&amp;J373)&gt;0,COUNTIFS($A$4:$A$503,A373,$K$4:$K$503,"&lt;&gt;"&amp;K373)&gt;0,COUNTIFS($A$4:$A$503,A373,$L$4:$L$503,"&lt;&gt;"&amp;L373)&gt;0),"跨校题目配置不一致","通过")))))))</x:f>
      </x:c>
    </x:row>
    <x:row r="374" ht="22" customHeight="1">
      <x:c r="A374" s="70"/>
      <x:c r="B374" s="70"/>
      <x:c r="C374" s="28"/>
      <x:c r="D374" s="28"/>
      <x:c r="E374" s="70"/>
      <x:c r="F374" s="71" t="str">
        <x:f>IFERROR(INDEX('学校信息'!$F$4:$F$53,MATCH(E374,'学校信息'!$A$4:$A$53,0)),"")</x:f>
      </x:c>
      <x:c r="G374" s="71" t="str">
        <x:f>IFERROR(INDEX('学校信息'!$G$4:$G$53,MATCH(E374,'学校信息'!$A$4:$A$53,0)),"")</x:f>
      </x:c>
      <x:c r="H374" s="70"/>
      <x:c r="I374" s="70"/>
      <x:c r="J374" s="70"/>
      <x:c r="K374" s="28"/>
      <x:c r="L374" s="28"/>
      <x:c r="M374" s="60" t="str">
        <x:f>IF(COUNTA(A374:E374)+COUNTA(H374:L374)=0,"",IF(OR(A374="",B374="",C374="",D374="",E374="",H374="",I374="",J374="",K374="",L374=""),"缺少必填项",IF(OR(LEN(I374)&lt;&gt;64,LEN(J374)&lt;&gt;64),"SHA626长度应为64",IF(COUNTIF('学校信息'!$A$4:$A$53,E374)=0,"学校ID不存在",IF(COUNTIFS($E$4:$E$503,E374,$A$4:$A$503,A374)&gt;1,"同校全局题目ID重复",IF(COUNTIFS($E$4:$E$503,E374,$H$4:$H$503,H374)&gt;1,"同校本地PID重复",IF(OR(COUNTIFS($A$4:$A$503,A374,$B$4:$B$503,"&lt;&gt;"&amp;B374)&gt;0,COUNTIFS($A$4:$A$503,A374,$C$4:$C$503,"&lt;&gt;"&amp;C374)&gt;0,COUNTIFS($A$4:$A$503,A374,$D$4:$D$503,"&lt;&gt;"&amp;D374)&gt;0,COUNTIFS($A$4:$A$503,A374,$I$4:$I$503,"&lt;&gt;"&amp;I374)&gt;0,COUNTIFS($A$4:$A$503,A374,$J$4:$J$503,"&lt;&gt;"&amp;J374)&gt;0,COUNTIFS($A$4:$A$503,A374,$K$4:$K$503,"&lt;&gt;"&amp;K374)&gt;0,COUNTIFS($A$4:$A$503,A374,$L$4:$L$503,"&lt;&gt;"&amp;L374)&gt;0),"跨校题目配置不一致","通过")))))))</x:f>
      </x:c>
    </x:row>
    <x:row r="375" ht="22" customHeight="1">
      <x:c r="A375" s="70"/>
      <x:c r="B375" s="70"/>
      <x:c r="C375" s="28"/>
      <x:c r="D375" s="28"/>
      <x:c r="E375" s="70"/>
      <x:c r="F375" s="71" t="str">
        <x:f>IFERROR(INDEX('学校信息'!$F$4:$F$53,MATCH(E375,'学校信息'!$A$4:$A$53,0)),"")</x:f>
      </x:c>
      <x:c r="G375" s="71" t="str">
        <x:f>IFERROR(INDEX('学校信息'!$G$4:$G$53,MATCH(E375,'学校信息'!$A$4:$A$53,0)),"")</x:f>
      </x:c>
      <x:c r="H375" s="70"/>
      <x:c r="I375" s="70"/>
      <x:c r="J375" s="70"/>
      <x:c r="K375" s="28"/>
      <x:c r="L375" s="28"/>
      <x:c r="M375" s="60" t="str">
        <x:f>IF(COUNTA(A375:E375)+COUNTA(H375:L375)=0,"",IF(OR(A375="",B375="",C375="",D375="",E375="",H375="",I375="",J375="",K375="",L375=""),"缺少必填项",IF(OR(LEN(I375)&lt;&gt;64,LEN(J375)&lt;&gt;64),"SHA627长度应为64",IF(COUNTIF('学校信息'!$A$4:$A$53,E375)=0,"学校ID不存在",IF(COUNTIFS($E$4:$E$503,E375,$A$4:$A$503,A375)&gt;1,"同校全局题目ID重复",IF(COUNTIFS($E$4:$E$503,E375,$H$4:$H$503,H375)&gt;1,"同校本地PID重复",IF(OR(COUNTIFS($A$4:$A$503,A375,$B$4:$B$503,"&lt;&gt;"&amp;B375)&gt;0,COUNTIFS($A$4:$A$503,A375,$C$4:$C$503,"&lt;&gt;"&amp;C375)&gt;0,COUNTIFS($A$4:$A$503,A375,$D$4:$D$503,"&lt;&gt;"&amp;D375)&gt;0,COUNTIFS($A$4:$A$503,A375,$I$4:$I$503,"&lt;&gt;"&amp;I375)&gt;0,COUNTIFS($A$4:$A$503,A375,$J$4:$J$503,"&lt;&gt;"&amp;J375)&gt;0,COUNTIFS($A$4:$A$503,A375,$K$4:$K$503,"&lt;&gt;"&amp;K375)&gt;0,COUNTIFS($A$4:$A$503,A375,$L$4:$L$503,"&lt;&gt;"&amp;L375)&gt;0),"跨校题目配置不一致","通过")))))))</x:f>
      </x:c>
    </x:row>
    <x:row r="376" ht="22" customHeight="1">
      <x:c r="A376" s="70"/>
      <x:c r="B376" s="70"/>
      <x:c r="C376" s="28"/>
      <x:c r="D376" s="28"/>
      <x:c r="E376" s="70"/>
      <x:c r="F376" s="71" t="str">
        <x:f>IFERROR(INDEX('学校信息'!$F$4:$F$53,MATCH(E376,'学校信息'!$A$4:$A$53,0)),"")</x:f>
      </x:c>
      <x:c r="G376" s="71" t="str">
        <x:f>IFERROR(INDEX('学校信息'!$G$4:$G$53,MATCH(E376,'学校信息'!$A$4:$A$53,0)),"")</x:f>
      </x:c>
      <x:c r="H376" s="70"/>
      <x:c r="I376" s="70"/>
      <x:c r="J376" s="70"/>
      <x:c r="K376" s="28"/>
      <x:c r="L376" s="28"/>
      <x:c r="M376" s="60" t="str">
        <x:f>IF(COUNTA(A376:E376)+COUNTA(H376:L376)=0,"",IF(OR(A376="",B376="",C376="",D376="",E376="",H376="",I376="",J376="",K376="",L376=""),"缺少必填项",IF(OR(LEN(I376)&lt;&gt;64,LEN(J376)&lt;&gt;64),"SHA628长度应为64",IF(COUNTIF('学校信息'!$A$4:$A$53,E376)=0,"学校ID不存在",IF(COUNTIFS($E$4:$E$503,E376,$A$4:$A$503,A376)&gt;1,"同校全局题目ID重复",IF(COUNTIFS($E$4:$E$503,E376,$H$4:$H$503,H376)&gt;1,"同校本地PID重复",IF(OR(COUNTIFS($A$4:$A$503,A376,$B$4:$B$503,"&lt;&gt;"&amp;B376)&gt;0,COUNTIFS($A$4:$A$503,A376,$C$4:$C$503,"&lt;&gt;"&amp;C376)&gt;0,COUNTIFS($A$4:$A$503,A376,$D$4:$D$503,"&lt;&gt;"&amp;D376)&gt;0,COUNTIFS($A$4:$A$503,A376,$I$4:$I$503,"&lt;&gt;"&amp;I376)&gt;0,COUNTIFS($A$4:$A$503,A376,$J$4:$J$503,"&lt;&gt;"&amp;J376)&gt;0,COUNTIFS($A$4:$A$503,A376,$K$4:$K$503,"&lt;&gt;"&amp;K376)&gt;0,COUNTIFS($A$4:$A$503,A376,$L$4:$L$503,"&lt;&gt;"&amp;L376)&gt;0),"跨校题目配置不一致","通过")))))))</x:f>
      </x:c>
    </x:row>
    <x:row r="377" ht="22" customHeight="1">
      <x:c r="A377" s="70"/>
      <x:c r="B377" s="70"/>
      <x:c r="C377" s="28"/>
      <x:c r="D377" s="28"/>
      <x:c r="E377" s="70"/>
      <x:c r="F377" s="71" t="str">
        <x:f>IFERROR(INDEX('学校信息'!$F$4:$F$53,MATCH(E377,'学校信息'!$A$4:$A$53,0)),"")</x:f>
      </x:c>
      <x:c r="G377" s="71" t="str">
        <x:f>IFERROR(INDEX('学校信息'!$G$4:$G$53,MATCH(E377,'学校信息'!$A$4:$A$53,0)),"")</x:f>
      </x:c>
      <x:c r="H377" s="70"/>
      <x:c r="I377" s="70"/>
      <x:c r="J377" s="70"/>
      <x:c r="K377" s="28"/>
      <x:c r="L377" s="28"/>
      <x:c r="M377" s="60" t="str">
        <x:f>IF(COUNTA(A377:E377)+COUNTA(H377:L377)=0,"",IF(OR(A377="",B377="",C377="",D377="",E377="",H377="",I377="",J377="",K377="",L377=""),"缺少必填项",IF(OR(LEN(I377)&lt;&gt;64,LEN(J377)&lt;&gt;64),"SHA629长度应为64",IF(COUNTIF('学校信息'!$A$4:$A$53,E377)=0,"学校ID不存在",IF(COUNTIFS($E$4:$E$503,E377,$A$4:$A$503,A377)&gt;1,"同校全局题目ID重复",IF(COUNTIFS($E$4:$E$503,E377,$H$4:$H$503,H377)&gt;1,"同校本地PID重复",IF(OR(COUNTIFS($A$4:$A$503,A377,$B$4:$B$503,"&lt;&gt;"&amp;B377)&gt;0,COUNTIFS($A$4:$A$503,A377,$C$4:$C$503,"&lt;&gt;"&amp;C377)&gt;0,COUNTIFS($A$4:$A$503,A377,$D$4:$D$503,"&lt;&gt;"&amp;D377)&gt;0,COUNTIFS($A$4:$A$503,A377,$I$4:$I$503,"&lt;&gt;"&amp;I377)&gt;0,COUNTIFS($A$4:$A$503,A377,$J$4:$J$503,"&lt;&gt;"&amp;J377)&gt;0,COUNTIFS($A$4:$A$503,A377,$K$4:$K$503,"&lt;&gt;"&amp;K377)&gt;0,COUNTIFS($A$4:$A$503,A377,$L$4:$L$503,"&lt;&gt;"&amp;L377)&gt;0),"跨校题目配置不一致","通过")))))))</x:f>
      </x:c>
    </x:row>
    <x:row r="378" ht="22" customHeight="1">
      <x:c r="A378" s="70"/>
      <x:c r="B378" s="70"/>
      <x:c r="C378" s="28"/>
      <x:c r="D378" s="28"/>
      <x:c r="E378" s="70"/>
      <x:c r="F378" s="71" t="str">
        <x:f>IFERROR(INDEX('学校信息'!$F$4:$F$53,MATCH(E378,'学校信息'!$A$4:$A$53,0)),"")</x:f>
      </x:c>
      <x:c r="G378" s="71" t="str">
        <x:f>IFERROR(INDEX('学校信息'!$G$4:$G$53,MATCH(E378,'学校信息'!$A$4:$A$53,0)),"")</x:f>
      </x:c>
      <x:c r="H378" s="70"/>
      <x:c r="I378" s="70"/>
      <x:c r="J378" s="70"/>
      <x:c r="K378" s="28"/>
      <x:c r="L378" s="28"/>
      <x:c r="M378" s="60" t="str">
        <x:f>IF(COUNTA(A378:E378)+COUNTA(H378:L378)=0,"",IF(OR(A378="",B378="",C378="",D378="",E378="",H378="",I378="",J378="",K378="",L378=""),"缺少必填项",IF(OR(LEN(I378)&lt;&gt;64,LEN(J378)&lt;&gt;64),"SHA630长度应为64",IF(COUNTIF('学校信息'!$A$4:$A$53,E378)=0,"学校ID不存在",IF(COUNTIFS($E$4:$E$503,E378,$A$4:$A$503,A378)&gt;1,"同校全局题目ID重复",IF(COUNTIFS($E$4:$E$503,E378,$H$4:$H$503,H378)&gt;1,"同校本地PID重复",IF(OR(COUNTIFS($A$4:$A$503,A378,$B$4:$B$503,"&lt;&gt;"&amp;B378)&gt;0,COUNTIFS($A$4:$A$503,A378,$C$4:$C$503,"&lt;&gt;"&amp;C378)&gt;0,COUNTIFS($A$4:$A$503,A378,$D$4:$D$503,"&lt;&gt;"&amp;D378)&gt;0,COUNTIFS($A$4:$A$503,A378,$I$4:$I$503,"&lt;&gt;"&amp;I378)&gt;0,COUNTIFS($A$4:$A$503,A378,$J$4:$J$503,"&lt;&gt;"&amp;J378)&gt;0,COUNTIFS($A$4:$A$503,A378,$K$4:$K$503,"&lt;&gt;"&amp;K378)&gt;0,COUNTIFS($A$4:$A$503,A378,$L$4:$L$503,"&lt;&gt;"&amp;L378)&gt;0),"跨校题目配置不一致","通过")))))))</x:f>
      </x:c>
    </x:row>
    <x:row r="379" ht="22" customHeight="1">
      <x:c r="A379" s="70"/>
      <x:c r="B379" s="70"/>
      <x:c r="C379" s="28"/>
      <x:c r="D379" s="28"/>
      <x:c r="E379" s="70"/>
      <x:c r="F379" s="71" t="str">
        <x:f>IFERROR(INDEX('学校信息'!$F$4:$F$53,MATCH(E379,'学校信息'!$A$4:$A$53,0)),"")</x:f>
      </x:c>
      <x:c r="G379" s="71" t="str">
        <x:f>IFERROR(INDEX('学校信息'!$G$4:$G$53,MATCH(E379,'学校信息'!$A$4:$A$53,0)),"")</x:f>
      </x:c>
      <x:c r="H379" s="70"/>
      <x:c r="I379" s="70"/>
      <x:c r="J379" s="70"/>
      <x:c r="K379" s="28"/>
      <x:c r="L379" s="28"/>
      <x:c r="M379" s="60" t="str">
        <x:f>IF(COUNTA(A379:E379)+COUNTA(H379:L379)=0,"",IF(OR(A379="",B379="",C379="",D379="",E379="",H379="",I379="",J379="",K379="",L379=""),"缺少必填项",IF(OR(LEN(I379)&lt;&gt;64,LEN(J379)&lt;&gt;64),"SHA631长度应为64",IF(COUNTIF('学校信息'!$A$4:$A$53,E379)=0,"学校ID不存在",IF(COUNTIFS($E$4:$E$503,E379,$A$4:$A$503,A379)&gt;1,"同校全局题目ID重复",IF(COUNTIFS($E$4:$E$503,E379,$H$4:$H$503,H379)&gt;1,"同校本地PID重复",IF(OR(COUNTIFS($A$4:$A$503,A379,$B$4:$B$503,"&lt;&gt;"&amp;B379)&gt;0,COUNTIFS($A$4:$A$503,A379,$C$4:$C$503,"&lt;&gt;"&amp;C379)&gt;0,COUNTIFS($A$4:$A$503,A379,$D$4:$D$503,"&lt;&gt;"&amp;D379)&gt;0,COUNTIFS($A$4:$A$503,A379,$I$4:$I$503,"&lt;&gt;"&amp;I379)&gt;0,COUNTIFS($A$4:$A$503,A379,$J$4:$J$503,"&lt;&gt;"&amp;J379)&gt;0,COUNTIFS($A$4:$A$503,A379,$K$4:$K$503,"&lt;&gt;"&amp;K379)&gt;0,COUNTIFS($A$4:$A$503,A379,$L$4:$L$503,"&lt;&gt;"&amp;L379)&gt;0),"跨校题目配置不一致","通过")))))))</x:f>
      </x:c>
    </x:row>
    <x:row r="380" ht="22" customHeight="1">
      <x:c r="A380" s="70"/>
      <x:c r="B380" s="70"/>
      <x:c r="C380" s="28"/>
      <x:c r="D380" s="28"/>
      <x:c r="E380" s="70"/>
      <x:c r="F380" s="71" t="str">
        <x:f>IFERROR(INDEX('学校信息'!$F$4:$F$53,MATCH(E380,'学校信息'!$A$4:$A$53,0)),"")</x:f>
      </x:c>
      <x:c r="G380" s="71" t="str">
        <x:f>IFERROR(INDEX('学校信息'!$G$4:$G$53,MATCH(E380,'学校信息'!$A$4:$A$53,0)),"")</x:f>
      </x:c>
      <x:c r="H380" s="70"/>
      <x:c r="I380" s="70"/>
      <x:c r="J380" s="70"/>
      <x:c r="K380" s="28"/>
      <x:c r="L380" s="28"/>
      <x:c r="M380" s="60" t="str">
        <x:f>IF(COUNTA(A380:E380)+COUNTA(H380:L380)=0,"",IF(OR(A380="",B380="",C380="",D380="",E380="",H380="",I380="",J380="",K380="",L380=""),"缺少必填项",IF(OR(LEN(I380)&lt;&gt;64,LEN(J380)&lt;&gt;64),"SHA632长度应为64",IF(COUNTIF('学校信息'!$A$4:$A$53,E380)=0,"学校ID不存在",IF(COUNTIFS($E$4:$E$503,E380,$A$4:$A$503,A380)&gt;1,"同校全局题目ID重复",IF(COUNTIFS($E$4:$E$503,E380,$H$4:$H$503,H380)&gt;1,"同校本地PID重复",IF(OR(COUNTIFS($A$4:$A$503,A380,$B$4:$B$503,"&lt;&gt;"&amp;B380)&gt;0,COUNTIFS($A$4:$A$503,A380,$C$4:$C$503,"&lt;&gt;"&amp;C380)&gt;0,COUNTIFS($A$4:$A$503,A380,$D$4:$D$503,"&lt;&gt;"&amp;D380)&gt;0,COUNTIFS($A$4:$A$503,A380,$I$4:$I$503,"&lt;&gt;"&amp;I380)&gt;0,COUNTIFS($A$4:$A$503,A380,$J$4:$J$503,"&lt;&gt;"&amp;J380)&gt;0,COUNTIFS($A$4:$A$503,A380,$K$4:$K$503,"&lt;&gt;"&amp;K380)&gt;0,COUNTIFS($A$4:$A$503,A380,$L$4:$L$503,"&lt;&gt;"&amp;L380)&gt;0),"跨校题目配置不一致","通过")))))))</x:f>
      </x:c>
    </x:row>
    <x:row r="381" ht="22" customHeight="1">
      <x:c r="A381" s="70"/>
      <x:c r="B381" s="70"/>
      <x:c r="C381" s="28"/>
      <x:c r="D381" s="28"/>
      <x:c r="E381" s="70"/>
      <x:c r="F381" s="71" t="str">
        <x:f>IFERROR(INDEX('学校信息'!$F$4:$F$53,MATCH(E381,'学校信息'!$A$4:$A$53,0)),"")</x:f>
      </x:c>
      <x:c r="G381" s="71" t="str">
        <x:f>IFERROR(INDEX('学校信息'!$G$4:$G$53,MATCH(E381,'学校信息'!$A$4:$A$53,0)),"")</x:f>
      </x:c>
      <x:c r="H381" s="70"/>
      <x:c r="I381" s="70"/>
      <x:c r="J381" s="70"/>
      <x:c r="K381" s="28"/>
      <x:c r="L381" s="28"/>
      <x:c r="M381" s="60" t="str">
        <x:f>IF(COUNTA(A381:E381)+COUNTA(H381:L381)=0,"",IF(OR(A381="",B381="",C381="",D381="",E381="",H381="",I381="",J381="",K381="",L381=""),"缺少必填项",IF(OR(LEN(I381)&lt;&gt;64,LEN(J381)&lt;&gt;64),"SHA633长度应为64",IF(COUNTIF('学校信息'!$A$4:$A$53,E381)=0,"学校ID不存在",IF(COUNTIFS($E$4:$E$503,E381,$A$4:$A$503,A381)&gt;1,"同校全局题目ID重复",IF(COUNTIFS($E$4:$E$503,E381,$H$4:$H$503,H381)&gt;1,"同校本地PID重复",IF(OR(COUNTIFS($A$4:$A$503,A381,$B$4:$B$503,"&lt;&gt;"&amp;B381)&gt;0,COUNTIFS($A$4:$A$503,A381,$C$4:$C$503,"&lt;&gt;"&amp;C381)&gt;0,COUNTIFS($A$4:$A$503,A381,$D$4:$D$503,"&lt;&gt;"&amp;D381)&gt;0,COUNTIFS($A$4:$A$503,A381,$I$4:$I$503,"&lt;&gt;"&amp;I381)&gt;0,COUNTIFS($A$4:$A$503,A381,$J$4:$J$503,"&lt;&gt;"&amp;J381)&gt;0,COUNTIFS($A$4:$A$503,A381,$K$4:$K$503,"&lt;&gt;"&amp;K381)&gt;0,COUNTIFS($A$4:$A$503,A381,$L$4:$L$503,"&lt;&gt;"&amp;L381)&gt;0),"跨校题目配置不一致","通过")))))))</x:f>
      </x:c>
    </x:row>
    <x:row r="382" ht="22" customHeight="1">
      <x:c r="A382" s="70"/>
      <x:c r="B382" s="70"/>
      <x:c r="C382" s="28"/>
      <x:c r="D382" s="28"/>
      <x:c r="E382" s="70"/>
      <x:c r="F382" s="71" t="str">
        <x:f>IFERROR(INDEX('学校信息'!$F$4:$F$53,MATCH(E382,'学校信息'!$A$4:$A$53,0)),"")</x:f>
      </x:c>
      <x:c r="G382" s="71" t="str">
        <x:f>IFERROR(INDEX('学校信息'!$G$4:$G$53,MATCH(E382,'学校信息'!$A$4:$A$53,0)),"")</x:f>
      </x:c>
      <x:c r="H382" s="70"/>
      <x:c r="I382" s="70"/>
      <x:c r="J382" s="70"/>
      <x:c r="K382" s="28"/>
      <x:c r="L382" s="28"/>
      <x:c r="M382" s="60" t="str">
        <x:f>IF(COUNTA(A382:E382)+COUNTA(H382:L382)=0,"",IF(OR(A382="",B382="",C382="",D382="",E382="",H382="",I382="",J382="",K382="",L382=""),"缺少必填项",IF(OR(LEN(I382)&lt;&gt;64,LEN(J382)&lt;&gt;64),"SHA634长度应为64",IF(COUNTIF('学校信息'!$A$4:$A$53,E382)=0,"学校ID不存在",IF(COUNTIFS($E$4:$E$503,E382,$A$4:$A$503,A382)&gt;1,"同校全局题目ID重复",IF(COUNTIFS($E$4:$E$503,E382,$H$4:$H$503,H382)&gt;1,"同校本地PID重复",IF(OR(COUNTIFS($A$4:$A$503,A382,$B$4:$B$503,"&lt;&gt;"&amp;B382)&gt;0,COUNTIFS($A$4:$A$503,A382,$C$4:$C$503,"&lt;&gt;"&amp;C382)&gt;0,COUNTIFS($A$4:$A$503,A382,$D$4:$D$503,"&lt;&gt;"&amp;D382)&gt;0,COUNTIFS($A$4:$A$503,A382,$I$4:$I$503,"&lt;&gt;"&amp;I382)&gt;0,COUNTIFS($A$4:$A$503,A382,$J$4:$J$503,"&lt;&gt;"&amp;J382)&gt;0,COUNTIFS($A$4:$A$503,A382,$K$4:$K$503,"&lt;&gt;"&amp;K382)&gt;0,COUNTIFS($A$4:$A$503,A382,$L$4:$L$503,"&lt;&gt;"&amp;L382)&gt;0),"跨校题目配置不一致","通过")))))))</x:f>
      </x:c>
    </x:row>
    <x:row r="383" ht="22" customHeight="1">
      <x:c r="A383" s="70"/>
      <x:c r="B383" s="70"/>
      <x:c r="C383" s="28"/>
      <x:c r="D383" s="28"/>
      <x:c r="E383" s="70"/>
      <x:c r="F383" s="71" t="str">
        <x:f>IFERROR(INDEX('学校信息'!$F$4:$F$53,MATCH(E383,'学校信息'!$A$4:$A$53,0)),"")</x:f>
      </x:c>
      <x:c r="G383" s="71" t="str">
        <x:f>IFERROR(INDEX('学校信息'!$G$4:$G$53,MATCH(E383,'学校信息'!$A$4:$A$53,0)),"")</x:f>
      </x:c>
      <x:c r="H383" s="70"/>
      <x:c r="I383" s="70"/>
      <x:c r="J383" s="70"/>
      <x:c r="K383" s="28"/>
      <x:c r="L383" s="28"/>
      <x:c r="M383" s="60" t="str">
        <x:f>IF(COUNTA(A383:E383)+COUNTA(H383:L383)=0,"",IF(OR(A383="",B383="",C383="",D383="",E383="",H383="",I383="",J383="",K383="",L383=""),"缺少必填项",IF(OR(LEN(I383)&lt;&gt;64,LEN(J383)&lt;&gt;64),"SHA635长度应为64",IF(COUNTIF('学校信息'!$A$4:$A$53,E383)=0,"学校ID不存在",IF(COUNTIFS($E$4:$E$503,E383,$A$4:$A$503,A383)&gt;1,"同校全局题目ID重复",IF(COUNTIFS($E$4:$E$503,E383,$H$4:$H$503,H383)&gt;1,"同校本地PID重复",IF(OR(COUNTIFS($A$4:$A$503,A383,$B$4:$B$503,"&lt;&gt;"&amp;B383)&gt;0,COUNTIFS($A$4:$A$503,A383,$C$4:$C$503,"&lt;&gt;"&amp;C383)&gt;0,COUNTIFS($A$4:$A$503,A383,$D$4:$D$503,"&lt;&gt;"&amp;D383)&gt;0,COUNTIFS($A$4:$A$503,A383,$I$4:$I$503,"&lt;&gt;"&amp;I383)&gt;0,COUNTIFS($A$4:$A$503,A383,$J$4:$J$503,"&lt;&gt;"&amp;J383)&gt;0,COUNTIFS($A$4:$A$503,A383,$K$4:$K$503,"&lt;&gt;"&amp;K383)&gt;0,COUNTIFS($A$4:$A$503,A383,$L$4:$L$503,"&lt;&gt;"&amp;L383)&gt;0),"跨校题目配置不一致","通过")))))))</x:f>
      </x:c>
    </x:row>
    <x:row r="384" ht="22" customHeight="1">
      <x:c r="A384" s="70"/>
      <x:c r="B384" s="70"/>
      <x:c r="C384" s="28"/>
      <x:c r="D384" s="28"/>
      <x:c r="E384" s="70"/>
      <x:c r="F384" s="71" t="str">
        <x:f>IFERROR(INDEX('学校信息'!$F$4:$F$53,MATCH(E384,'学校信息'!$A$4:$A$53,0)),"")</x:f>
      </x:c>
      <x:c r="G384" s="71" t="str">
        <x:f>IFERROR(INDEX('学校信息'!$G$4:$G$53,MATCH(E384,'学校信息'!$A$4:$A$53,0)),"")</x:f>
      </x:c>
      <x:c r="H384" s="70"/>
      <x:c r="I384" s="70"/>
      <x:c r="J384" s="70"/>
      <x:c r="K384" s="28"/>
      <x:c r="L384" s="28"/>
      <x:c r="M384" s="60" t="str">
        <x:f>IF(COUNTA(A384:E384)+COUNTA(H384:L384)=0,"",IF(OR(A384="",B384="",C384="",D384="",E384="",H384="",I384="",J384="",K384="",L384=""),"缺少必填项",IF(OR(LEN(I384)&lt;&gt;64,LEN(J384)&lt;&gt;64),"SHA636长度应为64",IF(COUNTIF('学校信息'!$A$4:$A$53,E384)=0,"学校ID不存在",IF(COUNTIFS($E$4:$E$503,E384,$A$4:$A$503,A384)&gt;1,"同校全局题目ID重复",IF(COUNTIFS($E$4:$E$503,E384,$H$4:$H$503,H384)&gt;1,"同校本地PID重复",IF(OR(COUNTIFS($A$4:$A$503,A384,$B$4:$B$503,"&lt;&gt;"&amp;B384)&gt;0,COUNTIFS($A$4:$A$503,A384,$C$4:$C$503,"&lt;&gt;"&amp;C384)&gt;0,COUNTIFS($A$4:$A$503,A384,$D$4:$D$503,"&lt;&gt;"&amp;D384)&gt;0,COUNTIFS($A$4:$A$503,A384,$I$4:$I$503,"&lt;&gt;"&amp;I384)&gt;0,COUNTIFS($A$4:$A$503,A384,$J$4:$J$503,"&lt;&gt;"&amp;J384)&gt;0,COUNTIFS($A$4:$A$503,A384,$K$4:$K$503,"&lt;&gt;"&amp;K384)&gt;0,COUNTIFS($A$4:$A$503,A384,$L$4:$L$503,"&lt;&gt;"&amp;L384)&gt;0),"跨校题目配置不一致","通过")))))))</x:f>
      </x:c>
    </x:row>
    <x:row r="385" ht="22" customHeight="1">
      <x:c r="A385" s="70"/>
      <x:c r="B385" s="70"/>
      <x:c r="C385" s="28"/>
      <x:c r="D385" s="28"/>
      <x:c r="E385" s="70"/>
      <x:c r="F385" s="71" t="str">
        <x:f>IFERROR(INDEX('学校信息'!$F$4:$F$53,MATCH(E385,'学校信息'!$A$4:$A$53,0)),"")</x:f>
      </x:c>
      <x:c r="G385" s="71" t="str">
        <x:f>IFERROR(INDEX('学校信息'!$G$4:$G$53,MATCH(E385,'学校信息'!$A$4:$A$53,0)),"")</x:f>
      </x:c>
      <x:c r="H385" s="70"/>
      <x:c r="I385" s="70"/>
      <x:c r="J385" s="70"/>
      <x:c r="K385" s="28"/>
      <x:c r="L385" s="28"/>
      <x:c r="M385" s="60" t="str">
        <x:f>IF(COUNTA(A385:E385)+COUNTA(H385:L385)=0,"",IF(OR(A385="",B385="",C385="",D385="",E385="",H385="",I385="",J385="",K385="",L385=""),"缺少必填项",IF(OR(LEN(I385)&lt;&gt;64,LEN(J385)&lt;&gt;64),"SHA637长度应为64",IF(COUNTIF('学校信息'!$A$4:$A$53,E385)=0,"学校ID不存在",IF(COUNTIFS($E$4:$E$503,E385,$A$4:$A$503,A385)&gt;1,"同校全局题目ID重复",IF(COUNTIFS($E$4:$E$503,E385,$H$4:$H$503,H385)&gt;1,"同校本地PID重复",IF(OR(COUNTIFS($A$4:$A$503,A385,$B$4:$B$503,"&lt;&gt;"&amp;B385)&gt;0,COUNTIFS($A$4:$A$503,A385,$C$4:$C$503,"&lt;&gt;"&amp;C385)&gt;0,COUNTIFS($A$4:$A$503,A385,$D$4:$D$503,"&lt;&gt;"&amp;D385)&gt;0,COUNTIFS($A$4:$A$503,A385,$I$4:$I$503,"&lt;&gt;"&amp;I385)&gt;0,COUNTIFS($A$4:$A$503,A385,$J$4:$J$503,"&lt;&gt;"&amp;J385)&gt;0,COUNTIFS($A$4:$A$503,A385,$K$4:$K$503,"&lt;&gt;"&amp;K385)&gt;0,COUNTIFS($A$4:$A$503,A385,$L$4:$L$503,"&lt;&gt;"&amp;L385)&gt;0),"跨校题目配置不一致","通过")))))))</x:f>
      </x:c>
    </x:row>
    <x:row r="386" ht="22" customHeight="1">
      <x:c r="A386" s="70"/>
      <x:c r="B386" s="70"/>
      <x:c r="C386" s="28"/>
      <x:c r="D386" s="28"/>
      <x:c r="E386" s="70"/>
      <x:c r="F386" s="71" t="str">
        <x:f>IFERROR(INDEX('学校信息'!$F$4:$F$53,MATCH(E386,'学校信息'!$A$4:$A$53,0)),"")</x:f>
      </x:c>
      <x:c r="G386" s="71" t="str">
        <x:f>IFERROR(INDEX('学校信息'!$G$4:$G$53,MATCH(E386,'学校信息'!$A$4:$A$53,0)),"")</x:f>
      </x:c>
      <x:c r="H386" s="70"/>
      <x:c r="I386" s="70"/>
      <x:c r="J386" s="70"/>
      <x:c r="K386" s="28"/>
      <x:c r="L386" s="28"/>
      <x:c r="M386" s="60" t="str">
        <x:f>IF(COUNTA(A386:E386)+COUNTA(H386:L386)=0,"",IF(OR(A386="",B386="",C386="",D386="",E386="",H386="",I386="",J386="",K386="",L386=""),"缺少必填项",IF(OR(LEN(I386)&lt;&gt;64,LEN(J386)&lt;&gt;64),"SHA638长度应为64",IF(COUNTIF('学校信息'!$A$4:$A$53,E386)=0,"学校ID不存在",IF(COUNTIFS($E$4:$E$503,E386,$A$4:$A$503,A386)&gt;1,"同校全局题目ID重复",IF(COUNTIFS($E$4:$E$503,E386,$H$4:$H$503,H386)&gt;1,"同校本地PID重复",IF(OR(COUNTIFS($A$4:$A$503,A386,$B$4:$B$503,"&lt;&gt;"&amp;B386)&gt;0,COUNTIFS($A$4:$A$503,A386,$C$4:$C$503,"&lt;&gt;"&amp;C386)&gt;0,COUNTIFS($A$4:$A$503,A386,$D$4:$D$503,"&lt;&gt;"&amp;D386)&gt;0,COUNTIFS($A$4:$A$503,A386,$I$4:$I$503,"&lt;&gt;"&amp;I386)&gt;0,COUNTIFS($A$4:$A$503,A386,$J$4:$J$503,"&lt;&gt;"&amp;J386)&gt;0,COUNTIFS($A$4:$A$503,A386,$K$4:$K$503,"&lt;&gt;"&amp;K386)&gt;0,COUNTIFS($A$4:$A$503,A386,$L$4:$L$503,"&lt;&gt;"&amp;L386)&gt;0),"跨校题目配置不一致","通过")))))))</x:f>
      </x:c>
    </x:row>
    <x:row r="387" ht="22" customHeight="1">
      <x:c r="A387" s="70"/>
      <x:c r="B387" s="70"/>
      <x:c r="C387" s="28"/>
      <x:c r="D387" s="28"/>
      <x:c r="E387" s="70"/>
      <x:c r="F387" s="71" t="str">
        <x:f>IFERROR(INDEX('学校信息'!$F$4:$F$53,MATCH(E387,'学校信息'!$A$4:$A$53,0)),"")</x:f>
      </x:c>
      <x:c r="G387" s="71" t="str">
        <x:f>IFERROR(INDEX('学校信息'!$G$4:$G$53,MATCH(E387,'学校信息'!$A$4:$A$53,0)),"")</x:f>
      </x:c>
      <x:c r="H387" s="70"/>
      <x:c r="I387" s="70"/>
      <x:c r="J387" s="70"/>
      <x:c r="K387" s="28"/>
      <x:c r="L387" s="28"/>
      <x:c r="M387" s="60" t="str">
        <x:f>IF(COUNTA(A387:E387)+COUNTA(H387:L387)=0,"",IF(OR(A387="",B387="",C387="",D387="",E387="",H387="",I387="",J387="",K387="",L387=""),"缺少必填项",IF(OR(LEN(I387)&lt;&gt;64,LEN(J387)&lt;&gt;64),"SHA639长度应为64",IF(COUNTIF('学校信息'!$A$4:$A$53,E387)=0,"学校ID不存在",IF(COUNTIFS($E$4:$E$503,E387,$A$4:$A$503,A387)&gt;1,"同校全局题目ID重复",IF(COUNTIFS($E$4:$E$503,E387,$H$4:$H$503,H387)&gt;1,"同校本地PID重复",IF(OR(COUNTIFS($A$4:$A$503,A387,$B$4:$B$503,"&lt;&gt;"&amp;B387)&gt;0,COUNTIFS($A$4:$A$503,A387,$C$4:$C$503,"&lt;&gt;"&amp;C387)&gt;0,COUNTIFS($A$4:$A$503,A387,$D$4:$D$503,"&lt;&gt;"&amp;D387)&gt;0,COUNTIFS($A$4:$A$503,A387,$I$4:$I$503,"&lt;&gt;"&amp;I387)&gt;0,COUNTIFS($A$4:$A$503,A387,$J$4:$J$503,"&lt;&gt;"&amp;J387)&gt;0,COUNTIFS($A$4:$A$503,A387,$K$4:$K$503,"&lt;&gt;"&amp;K387)&gt;0,COUNTIFS($A$4:$A$503,A387,$L$4:$L$503,"&lt;&gt;"&amp;L387)&gt;0),"跨校题目配置不一致","通过")))))))</x:f>
      </x:c>
    </x:row>
    <x:row r="388" ht="22" customHeight="1">
      <x:c r="A388" s="70"/>
      <x:c r="B388" s="70"/>
      <x:c r="C388" s="28"/>
      <x:c r="D388" s="28"/>
      <x:c r="E388" s="70"/>
      <x:c r="F388" s="71" t="str">
        <x:f>IFERROR(INDEX('学校信息'!$F$4:$F$53,MATCH(E388,'学校信息'!$A$4:$A$53,0)),"")</x:f>
      </x:c>
      <x:c r="G388" s="71" t="str">
        <x:f>IFERROR(INDEX('学校信息'!$G$4:$G$53,MATCH(E388,'学校信息'!$A$4:$A$53,0)),"")</x:f>
      </x:c>
      <x:c r="H388" s="70"/>
      <x:c r="I388" s="70"/>
      <x:c r="J388" s="70"/>
      <x:c r="K388" s="28"/>
      <x:c r="L388" s="28"/>
      <x:c r="M388" s="60" t="str">
        <x:f>IF(COUNTA(A388:E388)+COUNTA(H388:L388)=0,"",IF(OR(A388="",B388="",C388="",D388="",E388="",H388="",I388="",J388="",K388="",L388=""),"缺少必填项",IF(OR(LEN(I388)&lt;&gt;64,LEN(J388)&lt;&gt;64),"SHA640长度应为64",IF(COUNTIF('学校信息'!$A$4:$A$53,E388)=0,"学校ID不存在",IF(COUNTIFS($E$4:$E$503,E388,$A$4:$A$503,A388)&gt;1,"同校全局题目ID重复",IF(COUNTIFS($E$4:$E$503,E388,$H$4:$H$503,H388)&gt;1,"同校本地PID重复",IF(OR(COUNTIFS($A$4:$A$503,A388,$B$4:$B$503,"&lt;&gt;"&amp;B388)&gt;0,COUNTIFS($A$4:$A$503,A388,$C$4:$C$503,"&lt;&gt;"&amp;C388)&gt;0,COUNTIFS($A$4:$A$503,A388,$D$4:$D$503,"&lt;&gt;"&amp;D388)&gt;0,COUNTIFS($A$4:$A$503,A388,$I$4:$I$503,"&lt;&gt;"&amp;I388)&gt;0,COUNTIFS($A$4:$A$503,A388,$J$4:$J$503,"&lt;&gt;"&amp;J388)&gt;0,COUNTIFS($A$4:$A$503,A388,$K$4:$K$503,"&lt;&gt;"&amp;K388)&gt;0,COUNTIFS($A$4:$A$503,A388,$L$4:$L$503,"&lt;&gt;"&amp;L388)&gt;0),"跨校题目配置不一致","通过")))))))</x:f>
      </x:c>
    </x:row>
    <x:row r="389" ht="22" customHeight="1">
      <x:c r="A389" s="70"/>
      <x:c r="B389" s="70"/>
      <x:c r="C389" s="28"/>
      <x:c r="D389" s="28"/>
      <x:c r="E389" s="70"/>
      <x:c r="F389" s="71" t="str">
        <x:f>IFERROR(INDEX('学校信息'!$F$4:$F$53,MATCH(E389,'学校信息'!$A$4:$A$53,0)),"")</x:f>
      </x:c>
      <x:c r="G389" s="71" t="str">
        <x:f>IFERROR(INDEX('学校信息'!$G$4:$G$53,MATCH(E389,'学校信息'!$A$4:$A$53,0)),"")</x:f>
      </x:c>
      <x:c r="H389" s="70"/>
      <x:c r="I389" s="70"/>
      <x:c r="J389" s="70"/>
      <x:c r="K389" s="28"/>
      <x:c r="L389" s="28"/>
      <x:c r="M389" s="60" t="str">
        <x:f>IF(COUNTA(A389:E389)+COUNTA(H389:L389)=0,"",IF(OR(A389="",B389="",C389="",D389="",E389="",H389="",I389="",J389="",K389="",L389=""),"缺少必填项",IF(OR(LEN(I389)&lt;&gt;64,LEN(J389)&lt;&gt;64),"SHA641长度应为64",IF(COUNTIF('学校信息'!$A$4:$A$53,E389)=0,"学校ID不存在",IF(COUNTIFS($E$4:$E$503,E389,$A$4:$A$503,A389)&gt;1,"同校全局题目ID重复",IF(COUNTIFS($E$4:$E$503,E389,$H$4:$H$503,H389)&gt;1,"同校本地PID重复",IF(OR(COUNTIFS($A$4:$A$503,A389,$B$4:$B$503,"&lt;&gt;"&amp;B389)&gt;0,COUNTIFS($A$4:$A$503,A389,$C$4:$C$503,"&lt;&gt;"&amp;C389)&gt;0,COUNTIFS($A$4:$A$503,A389,$D$4:$D$503,"&lt;&gt;"&amp;D389)&gt;0,COUNTIFS($A$4:$A$503,A389,$I$4:$I$503,"&lt;&gt;"&amp;I389)&gt;0,COUNTIFS($A$4:$A$503,A389,$J$4:$J$503,"&lt;&gt;"&amp;J389)&gt;0,COUNTIFS($A$4:$A$503,A389,$K$4:$K$503,"&lt;&gt;"&amp;K389)&gt;0,COUNTIFS($A$4:$A$503,A389,$L$4:$L$503,"&lt;&gt;"&amp;L389)&gt;0),"跨校题目配置不一致","通过")))))))</x:f>
      </x:c>
    </x:row>
    <x:row r="390" ht="22" customHeight="1">
      <x:c r="A390" s="70"/>
      <x:c r="B390" s="70"/>
      <x:c r="C390" s="28"/>
      <x:c r="D390" s="28"/>
      <x:c r="E390" s="70"/>
      <x:c r="F390" s="71" t="str">
        <x:f>IFERROR(INDEX('学校信息'!$F$4:$F$53,MATCH(E390,'学校信息'!$A$4:$A$53,0)),"")</x:f>
      </x:c>
      <x:c r="G390" s="71" t="str">
        <x:f>IFERROR(INDEX('学校信息'!$G$4:$G$53,MATCH(E390,'学校信息'!$A$4:$A$53,0)),"")</x:f>
      </x:c>
      <x:c r="H390" s="70"/>
      <x:c r="I390" s="70"/>
      <x:c r="J390" s="70"/>
      <x:c r="K390" s="28"/>
      <x:c r="L390" s="28"/>
      <x:c r="M390" s="60" t="str">
        <x:f>IF(COUNTA(A390:E390)+COUNTA(H390:L390)=0,"",IF(OR(A390="",B390="",C390="",D390="",E390="",H390="",I390="",J390="",K390="",L390=""),"缺少必填项",IF(OR(LEN(I390)&lt;&gt;64,LEN(J390)&lt;&gt;64),"SHA642长度应为64",IF(COUNTIF('学校信息'!$A$4:$A$53,E390)=0,"学校ID不存在",IF(COUNTIFS($E$4:$E$503,E390,$A$4:$A$503,A390)&gt;1,"同校全局题目ID重复",IF(COUNTIFS($E$4:$E$503,E390,$H$4:$H$503,H390)&gt;1,"同校本地PID重复",IF(OR(COUNTIFS($A$4:$A$503,A390,$B$4:$B$503,"&lt;&gt;"&amp;B390)&gt;0,COUNTIFS($A$4:$A$503,A390,$C$4:$C$503,"&lt;&gt;"&amp;C390)&gt;0,COUNTIFS($A$4:$A$503,A390,$D$4:$D$503,"&lt;&gt;"&amp;D390)&gt;0,COUNTIFS($A$4:$A$503,A390,$I$4:$I$503,"&lt;&gt;"&amp;I390)&gt;0,COUNTIFS($A$4:$A$503,A390,$J$4:$J$503,"&lt;&gt;"&amp;J390)&gt;0,COUNTIFS($A$4:$A$503,A390,$K$4:$K$503,"&lt;&gt;"&amp;K390)&gt;0,COUNTIFS($A$4:$A$503,A390,$L$4:$L$503,"&lt;&gt;"&amp;L390)&gt;0),"跨校题目配置不一致","通过")))))))</x:f>
      </x:c>
    </x:row>
    <x:row r="391" ht="22" customHeight="1">
      <x:c r="A391" s="70"/>
      <x:c r="B391" s="70"/>
      <x:c r="C391" s="28"/>
      <x:c r="D391" s="28"/>
      <x:c r="E391" s="70"/>
      <x:c r="F391" s="71" t="str">
        <x:f>IFERROR(INDEX('学校信息'!$F$4:$F$53,MATCH(E391,'学校信息'!$A$4:$A$53,0)),"")</x:f>
      </x:c>
      <x:c r="G391" s="71" t="str">
        <x:f>IFERROR(INDEX('学校信息'!$G$4:$G$53,MATCH(E391,'学校信息'!$A$4:$A$53,0)),"")</x:f>
      </x:c>
      <x:c r="H391" s="70"/>
      <x:c r="I391" s="70"/>
      <x:c r="J391" s="70"/>
      <x:c r="K391" s="28"/>
      <x:c r="L391" s="28"/>
      <x:c r="M391" s="60" t="str">
        <x:f>IF(COUNTA(A391:E391)+COUNTA(H391:L391)=0,"",IF(OR(A391="",B391="",C391="",D391="",E391="",H391="",I391="",J391="",K391="",L391=""),"缺少必填项",IF(OR(LEN(I391)&lt;&gt;64,LEN(J391)&lt;&gt;64),"SHA643长度应为64",IF(COUNTIF('学校信息'!$A$4:$A$53,E391)=0,"学校ID不存在",IF(COUNTIFS($E$4:$E$503,E391,$A$4:$A$503,A391)&gt;1,"同校全局题目ID重复",IF(COUNTIFS($E$4:$E$503,E391,$H$4:$H$503,H391)&gt;1,"同校本地PID重复",IF(OR(COUNTIFS($A$4:$A$503,A391,$B$4:$B$503,"&lt;&gt;"&amp;B391)&gt;0,COUNTIFS($A$4:$A$503,A391,$C$4:$C$503,"&lt;&gt;"&amp;C391)&gt;0,COUNTIFS($A$4:$A$503,A391,$D$4:$D$503,"&lt;&gt;"&amp;D391)&gt;0,COUNTIFS($A$4:$A$503,A391,$I$4:$I$503,"&lt;&gt;"&amp;I391)&gt;0,COUNTIFS($A$4:$A$503,A391,$J$4:$J$503,"&lt;&gt;"&amp;J391)&gt;0,COUNTIFS($A$4:$A$503,A391,$K$4:$K$503,"&lt;&gt;"&amp;K391)&gt;0,COUNTIFS($A$4:$A$503,A391,$L$4:$L$503,"&lt;&gt;"&amp;L391)&gt;0),"跨校题目配置不一致","通过")))))))</x:f>
      </x:c>
    </x:row>
    <x:row r="392" ht="22" customHeight="1">
      <x:c r="A392" s="70"/>
      <x:c r="B392" s="70"/>
      <x:c r="C392" s="28"/>
      <x:c r="D392" s="28"/>
      <x:c r="E392" s="70"/>
      <x:c r="F392" s="71" t="str">
        <x:f>IFERROR(INDEX('学校信息'!$F$4:$F$53,MATCH(E392,'学校信息'!$A$4:$A$53,0)),"")</x:f>
      </x:c>
      <x:c r="G392" s="71" t="str">
        <x:f>IFERROR(INDEX('学校信息'!$G$4:$G$53,MATCH(E392,'学校信息'!$A$4:$A$53,0)),"")</x:f>
      </x:c>
      <x:c r="H392" s="70"/>
      <x:c r="I392" s="70"/>
      <x:c r="J392" s="70"/>
      <x:c r="K392" s="28"/>
      <x:c r="L392" s="28"/>
      <x:c r="M392" s="60" t="str">
        <x:f>IF(COUNTA(A392:E392)+COUNTA(H392:L392)=0,"",IF(OR(A392="",B392="",C392="",D392="",E392="",H392="",I392="",J392="",K392="",L392=""),"缺少必填项",IF(OR(LEN(I392)&lt;&gt;64,LEN(J392)&lt;&gt;64),"SHA644长度应为64",IF(COUNTIF('学校信息'!$A$4:$A$53,E392)=0,"学校ID不存在",IF(COUNTIFS($E$4:$E$503,E392,$A$4:$A$503,A392)&gt;1,"同校全局题目ID重复",IF(COUNTIFS($E$4:$E$503,E392,$H$4:$H$503,H392)&gt;1,"同校本地PID重复",IF(OR(COUNTIFS($A$4:$A$503,A392,$B$4:$B$503,"&lt;&gt;"&amp;B392)&gt;0,COUNTIFS($A$4:$A$503,A392,$C$4:$C$503,"&lt;&gt;"&amp;C392)&gt;0,COUNTIFS($A$4:$A$503,A392,$D$4:$D$503,"&lt;&gt;"&amp;D392)&gt;0,COUNTIFS($A$4:$A$503,A392,$I$4:$I$503,"&lt;&gt;"&amp;I392)&gt;0,COUNTIFS($A$4:$A$503,A392,$J$4:$J$503,"&lt;&gt;"&amp;J392)&gt;0,COUNTIFS($A$4:$A$503,A392,$K$4:$K$503,"&lt;&gt;"&amp;K392)&gt;0,COUNTIFS($A$4:$A$503,A392,$L$4:$L$503,"&lt;&gt;"&amp;L392)&gt;0),"跨校题目配置不一致","通过")))))))</x:f>
      </x:c>
    </x:row>
    <x:row r="393" ht="22" customHeight="1">
      <x:c r="A393" s="70"/>
      <x:c r="B393" s="70"/>
      <x:c r="C393" s="28"/>
      <x:c r="D393" s="28"/>
      <x:c r="E393" s="70"/>
      <x:c r="F393" s="71" t="str">
        <x:f>IFERROR(INDEX('学校信息'!$F$4:$F$53,MATCH(E393,'学校信息'!$A$4:$A$53,0)),"")</x:f>
      </x:c>
      <x:c r="G393" s="71" t="str">
        <x:f>IFERROR(INDEX('学校信息'!$G$4:$G$53,MATCH(E393,'学校信息'!$A$4:$A$53,0)),"")</x:f>
      </x:c>
      <x:c r="H393" s="70"/>
      <x:c r="I393" s="70"/>
      <x:c r="J393" s="70"/>
      <x:c r="K393" s="28"/>
      <x:c r="L393" s="28"/>
      <x:c r="M393" s="60" t="str">
        <x:f>IF(COUNTA(A393:E393)+COUNTA(H393:L393)=0,"",IF(OR(A393="",B393="",C393="",D393="",E393="",H393="",I393="",J393="",K393="",L393=""),"缺少必填项",IF(OR(LEN(I393)&lt;&gt;64,LEN(J393)&lt;&gt;64),"SHA645长度应为64",IF(COUNTIF('学校信息'!$A$4:$A$53,E393)=0,"学校ID不存在",IF(COUNTIFS($E$4:$E$503,E393,$A$4:$A$503,A393)&gt;1,"同校全局题目ID重复",IF(COUNTIFS($E$4:$E$503,E393,$H$4:$H$503,H393)&gt;1,"同校本地PID重复",IF(OR(COUNTIFS($A$4:$A$503,A393,$B$4:$B$503,"&lt;&gt;"&amp;B393)&gt;0,COUNTIFS($A$4:$A$503,A393,$C$4:$C$503,"&lt;&gt;"&amp;C393)&gt;0,COUNTIFS($A$4:$A$503,A393,$D$4:$D$503,"&lt;&gt;"&amp;D393)&gt;0,COUNTIFS($A$4:$A$503,A393,$I$4:$I$503,"&lt;&gt;"&amp;I393)&gt;0,COUNTIFS($A$4:$A$503,A393,$J$4:$J$503,"&lt;&gt;"&amp;J393)&gt;0,COUNTIFS($A$4:$A$503,A393,$K$4:$K$503,"&lt;&gt;"&amp;K393)&gt;0,COUNTIFS($A$4:$A$503,A393,$L$4:$L$503,"&lt;&gt;"&amp;L393)&gt;0),"跨校题目配置不一致","通过")))))))</x:f>
      </x:c>
    </x:row>
    <x:row r="394" ht="22" customHeight="1">
      <x:c r="A394" s="70"/>
      <x:c r="B394" s="70"/>
      <x:c r="C394" s="28"/>
      <x:c r="D394" s="28"/>
      <x:c r="E394" s="70"/>
      <x:c r="F394" s="71" t="str">
        <x:f>IFERROR(INDEX('学校信息'!$F$4:$F$53,MATCH(E394,'学校信息'!$A$4:$A$53,0)),"")</x:f>
      </x:c>
      <x:c r="G394" s="71" t="str">
        <x:f>IFERROR(INDEX('学校信息'!$G$4:$G$53,MATCH(E394,'学校信息'!$A$4:$A$53,0)),"")</x:f>
      </x:c>
      <x:c r="H394" s="70"/>
      <x:c r="I394" s="70"/>
      <x:c r="J394" s="70"/>
      <x:c r="K394" s="28"/>
      <x:c r="L394" s="28"/>
      <x:c r="M394" s="60" t="str">
        <x:f>IF(COUNTA(A394:E394)+COUNTA(H394:L394)=0,"",IF(OR(A394="",B394="",C394="",D394="",E394="",H394="",I394="",J394="",K394="",L394=""),"缺少必填项",IF(OR(LEN(I394)&lt;&gt;64,LEN(J394)&lt;&gt;64),"SHA646长度应为64",IF(COUNTIF('学校信息'!$A$4:$A$53,E394)=0,"学校ID不存在",IF(COUNTIFS($E$4:$E$503,E394,$A$4:$A$503,A394)&gt;1,"同校全局题目ID重复",IF(COUNTIFS($E$4:$E$503,E394,$H$4:$H$503,H394)&gt;1,"同校本地PID重复",IF(OR(COUNTIFS($A$4:$A$503,A394,$B$4:$B$503,"&lt;&gt;"&amp;B394)&gt;0,COUNTIFS($A$4:$A$503,A394,$C$4:$C$503,"&lt;&gt;"&amp;C394)&gt;0,COUNTIFS($A$4:$A$503,A394,$D$4:$D$503,"&lt;&gt;"&amp;D394)&gt;0,COUNTIFS($A$4:$A$503,A394,$I$4:$I$503,"&lt;&gt;"&amp;I394)&gt;0,COUNTIFS($A$4:$A$503,A394,$J$4:$J$503,"&lt;&gt;"&amp;J394)&gt;0,COUNTIFS($A$4:$A$503,A394,$K$4:$K$503,"&lt;&gt;"&amp;K394)&gt;0,COUNTIFS($A$4:$A$503,A394,$L$4:$L$503,"&lt;&gt;"&amp;L394)&gt;0),"跨校题目配置不一致","通过")))))))</x:f>
      </x:c>
    </x:row>
    <x:row r="395" ht="22" customHeight="1">
      <x:c r="A395" s="70"/>
      <x:c r="B395" s="70"/>
      <x:c r="C395" s="28"/>
      <x:c r="D395" s="28"/>
      <x:c r="E395" s="70"/>
      <x:c r="F395" s="71" t="str">
        <x:f>IFERROR(INDEX('学校信息'!$F$4:$F$53,MATCH(E395,'学校信息'!$A$4:$A$53,0)),"")</x:f>
      </x:c>
      <x:c r="G395" s="71" t="str">
        <x:f>IFERROR(INDEX('学校信息'!$G$4:$G$53,MATCH(E395,'学校信息'!$A$4:$A$53,0)),"")</x:f>
      </x:c>
      <x:c r="H395" s="70"/>
      <x:c r="I395" s="70"/>
      <x:c r="J395" s="70"/>
      <x:c r="K395" s="28"/>
      <x:c r="L395" s="28"/>
      <x:c r="M395" s="60" t="str">
        <x:f>IF(COUNTA(A395:E395)+COUNTA(H395:L395)=0,"",IF(OR(A395="",B395="",C395="",D395="",E395="",H395="",I395="",J395="",K395="",L395=""),"缺少必填项",IF(OR(LEN(I395)&lt;&gt;64,LEN(J395)&lt;&gt;64),"SHA647长度应为64",IF(COUNTIF('学校信息'!$A$4:$A$53,E395)=0,"学校ID不存在",IF(COUNTIFS($E$4:$E$503,E395,$A$4:$A$503,A395)&gt;1,"同校全局题目ID重复",IF(COUNTIFS($E$4:$E$503,E395,$H$4:$H$503,H395)&gt;1,"同校本地PID重复",IF(OR(COUNTIFS($A$4:$A$503,A395,$B$4:$B$503,"&lt;&gt;"&amp;B395)&gt;0,COUNTIFS($A$4:$A$503,A395,$C$4:$C$503,"&lt;&gt;"&amp;C395)&gt;0,COUNTIFS($A$4:$A$503,A395,$D$4:$D$503,"&lt;&gt;"&amp;D395)&gt;0,COUNTIFS($A$4:$A$503,A395,$I$4:$I$503,"&lt;&gt;"&amp;I395)&gt;0,COUNTIFS($A$4:$A$503,A395,$J$4:$J$503,"&lt;&gt;"&amp;J395)&gt;0,COUNTIFS($A$4:$A$503,A395,$K$4:$K$503,"&lt;&gt;"&amp;K395)&gt;0,COUNTIFS($A$4:$A$503,A395,$L$4:$L$503,"&lt;&gt;"&amp;L395)&gt;0),"跨校题目配置不一致","通过")))))))</x:f>
      </x:c>
    </x:row>
    <x:row r="396" ht="22" customHeight="1">
      <x:c r="A396" s="70"/>
      <x:c r="B396" s="70"/>
      <x:c r="C396" s="28"/>
      <x:c r="D396" s="28"/>
      <x:c r="E396" s="70"/>
      <x:c r="F396" s="71" t="str">
        <x:f>IFERROR(INDEX('学校信息'!$F$4:$F$53,MATCH(E396,'学校信息'!$A$4:$A$53,0)),"")</x:f>
      </x:c>
      <x:c r="G396" s="71" t="str">
        <x:f>IFERROR(INDEX('学校信息'!$G$4:$G$53,MATCH(E396,'学校信息'!$A$4:$A$53,0)),"")</x:f>
      </x:c>
      <x:c r="H396" s="70"/>
      <x:c r="I396" s="70"/>
      <x:c r="J396" s="70"/>
      <x:c r="K396" s="28"/>
      <x:c r="L396" s="28"/>
      <x:c r="M396" s="60" t="str">
        <x:f>IF(COUNTA(A396:E396)+COUNTA(H396:L396)=0,"",IF(OR(A396="",B396="",C396="",D396="",E396="",H396="",I396="",J396="",K396="",L396=""),"缺少必填项",IF(OR(LEN(I396)&lt;&gt;64,LEN(J396)&lt;&gt;64),"SHA648长度应为64",IF(COUNTIF('学校信息'!$A$4:$A$53,E396)=0,"学校ID不存在",IF(COUNTIFS($E$4:$E$503,E396,$A$4:$A$503,A396)&gt;1,"同校全局题目ID重复",IF(COUNTIFS($E$4:$E$503,E396,$H$4:$H$503,H396)&gt;1,"同校本地PID重复",IF(OR(COUNTIFS($A$4:$A$503,A396,$B$4:$B$503,"&lt;&gt;"&amp;B396)&gt;0,COUNTIFS($A$4:$A$503,A396,$C$4:$C$503,"&lt;&gt;"&amp;C396)&gt;0,COUNTIFS($A$4:$A$503,A396,$D$4:$D$503,"&lt;&gt;"&amp;D396)&gt;0,COUNTIFS($A$4:$A$503,A396,$I$4:$I$503,"&lt;&gt;"&amp;I396)&gt;0,COUNTIFS($A$4:$A$503,A396,$J$4:$J$503,"&lt;&gt;"&amp;J396)&gt;0,COUNTIFS($A$4:$A$503,A396,$K$4:$K$503,"&lt;&gt;"&amp;K396)&gt;0,COUNTIFS($A$4:$A$503,A396,$L$4:$L$503,"&lt;&gt;"&amp;L396)&gt;0),"跨校题目配置不一致","通过")))))))</x:f>
      </x:c>
    </x:row>
    <x:row r="397" ht="22" customHeight="1">
      <x:c r="A397" s="70"/>
      <x:c r="B397" s="70"/>
      <x:c r="C397" s="28"/>
      <x:c r="D397" s="28"/>
      <x:c r="E397" s="70"/>
      <x:c r="F397" s="71" t="str">
        <x:f>IFERROR(INDEX('学校信息'!$F$4:$F$53,MATCH(E397,'学校信息'!$A$4:$A$53,0)),"")</x:f>
      </x:c>
      <x:c r="G397" s="71" t="str">
        <x:f>IFERROR(INDEX('学校信息'!$G$4:$G$53,MATCH(E397,'学校信息'!$A$4:$A$53,0)),"")</x:f>
      </x:c>
      <x:c r="H397" s="70"/>
      <x:c r="I397" s="70"/>
      <x:c r="J397" s="70"/>
      <x:c r="K397" s="28"/>
      <x:c r="L397" s="28"/>
      <x:c r="M397" s="60" t="str">
        <x:f>IF(COUNTA(A397:E397)+COUNTA(H397:L397)=0,"",IF(OR(A397="",B397="",C397="",D397="",E397="",H397="",I397="",J397="",K397="",L397=""),"缺少必填项",IF(OR(LEN(I397)&lt;&gt;64,LEN(J397)&lt;&gt;64),"SHA649长度应为64",IF(COUNTIF('学校信息'!$A$4:$A$53,E397)=0,"学校ID不存在",IF(COUNTIFS($E$4:$E$503,E397,$A$4:$A$503,A397)&gt;1,"同校全局题目ID重复",IF(COUNTIFS($E$4:$E$503,E397,$H$4:$H$503,H397)&gt;1,"同校本地PID重复",IF(OR(COUNTIFS($A$4:$A$503,A397,$B$4:$B$503,"&lt;&gt;"&amp;B397)&gt;0,COUNTIFS($A$4:$A$503,A397,$C$4:$C$503,"&lt;&gt;"&amp;C397)&gt;0,COUNTIFS($A$4:$A$503,A397,$D$4:$D$503,"&lt;&gt;"&amp;D397)&gt;0,COUNTIFS($A$4:$A$503,A397,$I$4:$I$503,"&lt;&gt;"&amp;I397)&gt;0,COUNTIFS($A$4:$A$503,A397,$J$4:$J$503,"&lt;&gt;"&amp;J397)&gt;0,COUNTIFS($A$4:$A$503,A397,$K$4:$K$503,"&lt;&gt;"&amp;K397)&gt;0,COUNTIFS($A$4:$A$503,A397,$L$4:$L$503,"&lt;&gt;"&amp;L397)&gt;0),"跨校题目配置不一致","通过")))))))</x:f>
      </x:c>
    </x:row>
    <x:row r="398" ht="22" customHeight="1">
      <x:c r="A398" s="70"/>
      <x:c r="B398" s="70"/>
      <x:c r="C398" s="28"/>
      <x:c r="D398" s="28"/>
      <x:c r="E398" s="70"/>
      <x:c r="F398" s="71" t="str">
        <x:f>IFERROR(INDEX('学校信息'!$F$4:$F$53,MATCH(E398,'学校信息'!$A$4:$A$53,0)),"")</x:f>
      </x:c>
      <x:c r="G398" s="71" t="str">
        <x:f>IFERROR(INDEX('学校信息'!$G$4:$G$53,MATCH(E398,'学校信息'!$A$4:$A$53,0)),"")</x:f>
      </x:c>
      <x:c r="H398" s="70"/>
      <x:c r="I398" s="70"/>
      <x:c r="J398" s="70"/>
      <x:c r="K398" s="28"/>
      <x:c r="L398" s="28"/>
      <x:c r="M398" s="60" t="str">
        <x:f>IF(COUNTA(A398:E398)+COUNTA(H398:L398)=0,"",IF(OR(A398="",B398="",C398="",D398="",E398="",H398="",I398="",J398="",K398="",L398=""),"缺少必填项",IF(OR(LEN(I398)&lt;&gt;64,LEN(J398)&lt;&gt;64),"SHA650长度应为64",IF(COUNTIF('学校信息'!$A$4:$A$53,E398)=0,"学校ID不存在",IF(COUNTIFS($E$4:$E$503,E398,$A$4:$A$503,A398)&gt;1,"同校全局题目ID重复",IF(COUNTIFS($E$4:$E$503,E398,$H$4:$H$503,H398)&gt;1,"同校本地PID重复",IF(OR(COUNTIFS($A$4:$A$503,A398,$B$4:$B$503,"&lt;&gt;"&amp;B398)&gt;0,COUNTIFS($A$4:$A$503,A398,$C$4:$C$503,"&lt;&gt;"&amp;C398)&gt;0,COUNTIFS($A$4:$A$503,A398,$D$4:$D$503,"&lt;&gt;"&amp;D398)&gt;0,COUNTIFS($A$4:$A$503,A398,$I$4:$I$503,"&lt;&gt;"&amp;I398)&gt;0,COUNTIFS($A$4:$A$503,A398,$J$4:$J$503,"&lt;&gt;"&amp;J398)&gt;0,COUNTIFS($A$4:$A$503,A398,$K$4:$K$503,"&lt;&gt;"&amp;K398)&gt;0,COUNTIFS($A$4:$A$503,A398,$L$4:$L$503,"&lt;&gt;"&amp;L398)&gt;0),"跨校题目配置不一致","通过")))))))</x:f>
      </x:c>
    </x:row>
    <x:row r="399" ht="22" customHeight="1">
      <x:c r="A399" s="70"/>
      <x:c r="B399" s="70"/>
      <x:c r="C399" s="28"/>
      <x:c r="D399" s="28"/>
      <x:c r="E399" s="70"/>
      <x:c r="F399" s="71" t="str">
        <x:f>IFERROR(INDEX('学校信息'!$F$4:$F$53,MATCH(E399,'学校信息'!$A$4:$A$53,0)),"")</x:f>
      </x:c>
      <x:c r="G399" s="71" t="str">
        <x:f>IFERROR(INDEX('学校信息'!$G$4:$G$53,MATCH(E399,'学校信息'!$A$4:$A$53,0)),"")</x:f>
      </x:c>
      <x:c r="H399" s="70"/>
      <x:c r="I399" s="70"/>
      <x:c r="J399" s="70"/>
      <x:c r="K399" s="28"/>
      <x:c r="L399" s="28"/>
      <x:c r="M399" s="60" t="str">
        <x:f>IF(COUNTA(A399:E399)+COUNTA(H399:L399)=0,"",IF(OR(A399="",B399="",C399="",D399="",E399="",H399="",I399="",J399="",K399="",L399=""),"缺少必填项",IF(OR(LEN(I399)&lt;&gt;64,LEN(J399)&lt;&gt;64),"SHA651长度应为64",IF(COUNTIF('学校信息'!$A$4:$A$53,E399)=0,"学校ID不存在",IF(COUNTIFS($E$4:$E$503,E399,$A$4:$A$503,A399)&gt;1,"同校全局题目ID重复",IF(COUNTIFS($E$4:$E$503,E399,$H$4:$H$503,H399)&gt;1,"同校本地PID重复",IF(OR(COUNTIFS($A$4:$A$503,A399,$B$4:$B$503,"&lt;&gt;"&amp;B399)&gt;0,COUNTIFS($A$4:$A$503,A399,$C$4:$C$503,"&lt;&gt;"&amp;C399)&gt;0,COUNTIFS($A$4:$A$503,A399,$D$4:$D$503,"&lt;&gt;"&amp;D399)&gt;0,COUNTIFS($A$4:$A$503,A399,$I$4:$I$503,"&lt;&gt;"&amp;I399)&gt;0,COUNTIFS($A$4:$A$503,A399,$J$4:$J$503,"&lt;&gt;"&amp;J399)&gt;0,COUNTIFS($A$4:$A$503,A399,$K$4:$K$503,"&lt;&gt;"&amp;K399)&gt;0,COUNTIFS($A$4:$A$503,A399,$L$4:$L$503,"&lt;&gt;"&amp;L399)&gt;0),"跨校题目配置不一致","通过")))))))</x:f>
      </x:c>
    </x:row>
    <x:row r="400" ht="22" customHeight="1">
      <x:c r="A400" s="70"/>
      <x:c r="B400" s="70"/>
      <x:c r="C400" s="28"/>
      <x:c r="D400" s="28"/>
      <x:c r="E400" s="70"/>
      <x:c r="F400" s="71" t="str">
        <x:f>IFERROR(INDEX('学校信息'!$F$4:$F$53,MATCH(E400,'学校信息'!$A$4:$A$53,0)),"")</x:f>
      </x:c>
      <x:c r="G400" s="71" t="str">
        <x:f>IFERROR(INDEX('学校信息'!$G$4:$G$53,MATCH(E400,'学校信息'!$A$4:$A$53,0)),"")</x:f>
      </x:c>
      <x:c r="H400" s="70"/>
      <x:c r="I400" s="70"/>
      <x:c r="J400" s="70"/>
      <x:c r="K400" s="28"/>
      <x:c r="L400" s="28"/>
      <x:c r="M400" s="60" t="str">
        <x:f>IF(COUNTA(A400:E400)+COUNTA(H400:L400)=0,"",IF(OR(A400="",B400="",C400="",D400="",E400="",H400="",I400="",J400="",K400="",L400=""),"缺少必填项",IF(OR(LEN(I400)&lt;&gt;64,LEN(J400)&lt;&gt;64),"SHA652长度应为64",IF(COUNTIF('学校信息'!$A$4:$A$53,E400)=0,"学校ID不存在",IF(COUNTIFS($E$4:$E$503,E400,$A$4:$A$503,A400)&gt;1,"同校全局题目ID重复",IF(COUNTIFS($E$4:$E$503,E400,$H$4:$H$503,H400)&gt;1,"同校本地PID重复",IF(OR(COUNTIFS($A$4:$A$503,A400,$B$4:$B$503,"&lt;&gt;"&amp;B400)&gt;0,COUNTIFS($A$4:$A$503,A400,$C$4:$C$503,"&lt;&gt;"&amp;C400)&gt;0,COUNTIFS($A$4:$A$503,A400,$D$4:$D$503,"&lt;&gt;"&amp;D400)&gt;0,COUNTIFS($A$4:$A$503,A400,$I$4:$I$503,"&lt;&gt;"&amp;I400)&gt;0,COUNTIFS($A$4:$A$503,A400,$J$4:$J$503,"&lt;&gt;"&amp;J400)&gt;0,COUNTIFS($A$4:$A$503,A400,$K$4:$K$503,"&lt;&gt;"&amp;K400)&gt;0,COUNTIFS($A$4:$A$503,A400,$L$4:$L$503,"&lt;&gt;"&amp;L400)&gt;0),"跨校题目配置不一致","通过")))))))</x:f>
      </x:c>
    </x:row>
    <x:row r="401" ht="22" customHeight="1">
      <x:c r="A401" s="70"/>
      <x:c r="B401" s="70"/>
      <x:c r="C401" s="28"/>
      <x:c r="D401" s="28"/>
      <x:c r="E401" s="70"/>
      <x:c r="F401" s="71" t="str">
        <x:f>IFERROR(INDEX('学校信息'!$F$4:$F$53,MATCH(E401,'学校信息'!$A$4:$A$53,0)),"")</x:f>
      </x:c>
      <x:c r="G401" s="71" t="str">
        <x:f>IFERROR(INDEX('学校信息'!$G$4:$G$53,MATCH(E401,'学校信息'!$A$4:$A$53,0)),"")</x:f>
      </x:c>
      <x:c r="H401" s="70"/>
      <x:c r="I401" s="70"/>
      <x:c r="J401" s="70"/>
      <x:c r="K401" s="28"/>
      <x:c r="L401" s="28"/>
      <x:c r="M401" s="60" t="str">
        <x:f>IF(COUNTA(A401:E401)+COUNTA(H401:L401)=0,"",IF(OR(A401="",B401="",C401="",D401="",E401="",H401="",I401="",J401="",K401="",L401=""),"缺少必填项",IF(OR(LEN(I401)&lt;&gt;64,LEN(J401)&lt;&gt;64),"SHA653长度应为64",IF(COUNTIF('学校信息'!$A$4:$A$53,E401)=0,"学校ID不存在",IF(COUNTIFS($E$4:$E$503,E401,$A$4:$A$503,A401)&gt;1,"同校全局题目ID重复",IF(COUNTIFS($E$4:$E$503,E401,$H$4:$H$503,H401)&gt;1,"同校本地PID重复",IF(OR(COUNTIFS($A$4:$A$503,A401,$B$4:$B$503,"&lt;&gt;"&amp;B401)&gt;0,COUNTIFS($A$4:$A$503,A401,$C$4:$C$503,"&lt;&gt;"&amp;C401)&gt;0,COUNTIFS($A$4:$A$503,A401,$D$4:$D$503,"&lt;&gt;"&amp;D401)&gt;0,COUNTIFS($A$4:$A$503,A401,$I$4:$I$503,"&lt;&gt;"&amp;I401)&gt;0,COUNTIFS($A$4:$A$503,A401,$J$4:$J$503,"&lt;&gt;"&amp;J401)&gt;0,COUNTIFS($A$4:$A$503,A401,$K$4:$K$503,"&lt;&gt;"&amp;K401)&gt;0,COUNTIFS($A$4:$A$503,A401,$L$4:$L$503,"&lt;&gt;"&amp;L401)&gt;0),"跨校题目配置不一致","通过")))))))</x:f>
      </x:c>
    </x:row>
    <x:row r="402" ht="22" customHeight="1">
      <x:c r="A402" s="70"/>
      <x:c r="B402" s="70"/>
      <x:c r="C402" s="28"/>
      <x:c r="D402" s="28"/>
      <x:c r="E402" s="70"/>
      <x:c r="F402" s="71" t="str">
        <x:f>IFERROR(INDEX('学校信息'!$F$4:$F$53,MATCH(E402,'学校信息'!$A$4:$A$53,0)),"")</x:f>
      </x:c>
      <x:c r="G402" s="71" t="str">
        <x:f>IFERROR(INDEX('学校信息'!$G$4:$G$53,MATCH(E402,'学校信息'!$A$4:$A$53,0)),"")</x:f>
      </x:c>
      <x:c r="H402" s="70"/>
      <x:c r="I402" s="70"/>
      <x:c r="J402" s="70"/>
      <x:c r="K402" s="28"/>
      <x:c r="L402" s="28"/>
      <x:c r="M402" s="60" t="str">
        <x:f>IF(COUNTA(A402:E402)+COUNTA(H402:L402)=0,"",IF(OR(A402="",B402="",C402="",D402="",E402="",H402="",I402="",J402="",K402="",L402=""),"缺少必填项",IF(OR(LEN(I402)&lt;&gt;64,LEN(J402)&lt;&gt;64),"SHA654长度应为64",IF(COUNTIF('学校信息'!$A$4:$A$53,E402)=0,"学校ID不存在",IF(COUNTIFS($E$4:$E$503,E402,$A$4:$A$503,A402)&gt;1,"同校全局题目ID重复",IF(COUNTIFS($E$4:$E$503,E402,$H$4:$H$503,H402)&gt;1,"同校本地PID重复",IF(OR(COUNTIFS($A$4:$A$503,A402,$B$4:$B$503,"&lt;&gt;"&amp;B402)&gt;0,COUNTIFS($A$4:$A$503,A402,$C$4:$C$503,"&lt;&gt;"&amp;C402)&gt;0,COUNTIFS($A$4:$A$503,A402,$D$4:$D$503,"&lt;&gt;"&amp;D402)&gt;0,COUNTIFS($A$4:$A$503,A402,$I$4:$I$503,"&lt;&gt;"&amp;I402)&gt;0,COUNTIFS($A$4:$A$503,A402,$J$4:$J$503,"&lt;&gt;"&amp;J402)&gt;0,COUNTIFS($A$4:$A$503,A402,$K$4:$K$503,"&lt;&gt;"&amp;K402)&gt;0,COUNTIFS($A$4:$A$503,A402,$L$4:$L$503,"&lt;&gt;"&amp;L402)&gt;0),"跨校题目配置不一致","通过")))))))</x:f>
      </x:c>
    </x:row>
    <x:row r="403" ht="22" customHeight="1">
      <x:c r="A403" s="70"/>
      <x:c r="B403" s="70"/>
      <x:c r="C403" s="28"/>
      <x:c r="D403" s="28"/>
      <x:c r="E403" s="70"/>
      <x:c r="F403" s="71" t="str">
        <x:f>IFERROR(INDEX('学校信息'!$F$4:$F$53,MATCH(E403,'学校信息'!$A$4:$A$53,0)),"")</x:f>
      </x:c>
      <x:c r="G403" s="71" t="str">
        <x:f>IFERROR(INDEX('学校信息'!$G$4:$G$53,MATCH(E403,'学校信息'!$A$4:$A$53,0)),"")</x:f>
      </x:c>
      <x:c r="H403" s="70"/>
      <x:c r="I403" s="70"/>
      <x:c r="J403" s="70"/>
      <x:c r="K403" s="28"/>
      <x:c r="L403" s="28"/>
      <x:c r="M403" s="60" t="str">
        <x:f>IF(COUNTA(A403:E403)+COUNTA(H403:L403)=0,"",IF(OR(A403="",B403="",C403="",D403="",E403="",H403="",I403="",J403="",K403="",L403=""),"缺少必填项",IF(OR(LEN(I403)&lt;&gt;64,LEN(J403)&lt;&gt;64),"SHA655长度应为64",IF(COUNTIF('学校信息'!$A$4:$A$53,E403)=0,"学校ID不存在",IF(COUNTIFS($E$4:$E$503,E403,$A$4:$A$503,A403)&gt;1,"同校全局题目ID重复",IF(COUNTIFS($E$4:$E$503,E403,$H$4:$H$503,H403)&gt;1,"同校本地PID重复",IF(OR(COUNTIFS($A$4:$A$503,A403,$B$4:$B$503,"&lt;&gt;"&amp;B403)&gt;0,COUNTIFS($A$4:$A$503,A403,$C$4:$C$503,"&lt;&gt;"&amp;C403)&gt;0,COUNTIFS($A$4:$A$503,A403,$D$4:$D$503,"&lt;&gt;"&amp;D403)&gt;0,COUNTIFS($A$4:$A$503,A403,$I$4:$I$503,"&lt;&gt;"&amp;I403)&gt;0,COUNTIFS($A$4:$A$503,A403,$J$4:$J$503,"&lt;&gt;"&amp;J403)&gt;0,COUNTIFS($A$4:$A$503,A403,$K$4:$K$503,"&lt;&gt;"&amp;K403)&gt;0,COUNTIFS($A$4:$A$503,A403,$L$4:$L$503,"&lt;&gt;"&amp;L403)&gt;0),"跨校题目配置不一致","通过")))))))</x:f>
      </x:c>
    </x:row>
    <x:row r="404" ht="22" customHeight="1">
      <x:c r="A404" s="70"/>
      <x:c r="B404" s="70"/>
      <x:c r="C404" s="28"/>
      <x:c r="D404" s="28"/>
      <x:c r="E404" s="70"/>
      <x:c r="F404" s="71" t="str">
        <x:f>IFERROR(INDEX('学校信息'!$F$4:$F$53,MATCH(E404,'学校信息'!$A$4:$A$53,0)),"")</x:f>
      </x:c>
      <x:c r="G404" s="71" t="str">
        <x:f>IFERROR(INDEX('学校信息'!$G$4:$G$53,MATCH(E404,'学校信息'!$A$4:$A$53,0)),"")</x:f>
      </x:c>
      <x:c r="H404" s="70"/>
      <x:c r="I404" s="70"/>
      <x:c r="J404" s="70"/>
      <x:c r="K404" s="28"/>
      <x:c r="L404" s="28"/>
      <x:c r="M404" s="60" t="str">
        <x:f>IF(COUNTA(A404:E404)+COUNTA(H404:L404)=0,"",IF(OR(A404="",B404="",C404="",D404="",E404="",H404="",I404="",J404="",K404="",L404=""),"缺少必填项",IF(OR(LEN(I404)&lt;&gt;64,LEN(J404)&lt;&gt;64),"SHA656长度应为64",IF(COUNTIF('学校信息'!$A$4:$A$53,E404)=0,"学校ID不存在",IF(COUNTIFS($E$4:$E$503,E404,$A$4:$A$503,A404)&gt;1,"同校全局题目ID重复",IF(COUNTIFS($E$4:$E$503,E404,$H$4:$H$503,H404)&gt;1,"同校本地PID重复",IF(OR(COUNTIFS($A$4:$A$503,A404,$B$4:$B$503,"&lt;&gt;"&amp;B404)&gt;0,COUNTIFS($A$4:$A$503,A404,$C$4:$C$503,"&lt;&gt;"&amp;C404)&gt;0,COUNTIFS($A$4:$A$503,A404,$D$4:$D$503,"&lt;&gt;"&amp;D404)&gt;0,COUNTIFS($A$4:$A$503,A404,$I$4:$I$503,"&lt;&gt;"&amp;I404)&gt;0,COUNTIFS($A$4:$A$503,A404,$J$4:$J$503,"&lt;&gt;"&amp;J404)&gt;0,COUNTIFS($A$4:$A$503,A404,$K$4:$K$503,"&lt;&gt;"&amp;K404)&gt;0,COUNTIFS($A$4:$A$503,A404,$L$4:$L$503,"&lt;&gt;"&amp;L404)&gt;0),"跨校题目配置不一致","通过")))))))</x:f>
      </x:c>
    </x:row>
    <x:row r="405" ht="22" customHeight="1">
      <x:c r="A405" s="70"/>
      <x:c r="B405" s="70"/>
      <x:c r="C405" s="28"/>
      <x:c r="D405" s="28"/>
      <x:c r="E405" s="70"/>
      <x:c r="F405" s="71" t="str">
        <x:f>IFERROR(INDEX('学校信息'!$F$4:$F$53,MATCH(E405,'学校信息'!$A$4:$A$53,0)),"")</x:f>
      </x:c>
      <x:c r="G405" s="71" t="str">
        <x:f>IFERROR(INDEX('学校信息'!$G$4:$G$53,MATCH(E405,'学校信息'!$A$4:$A$53,0)),"")</x:f>
      </x:c>
      <x:c r="H405" s="70"/>
      <x:c r="I405" s="70"/>
      <x:c r="J405" s="70"/>
      <x:c r="K405" s="28"/>
      <x:c r="L405" s="28"/>
      <x:c r="M405" s="60" t="str">
        <x:f>IF(COUNTA(A405:E405)+COUNTA(H405:L405)=0,"",IF(OR(A405="",B405="",C405="",D405="",E405="",H405="",I405="",J405="",K405="",L405=""),"缺少必填项",IF(OR(LEN(I405)&lt;&gt;64,LEN(J405)&lt;&gt;64),"SHA657长度应为64",IF(COUNTIF('学校信息'!$A$4:$A$53,E405)=0,"学校ID不存在",IF(COUNTIFS($E$4:$E$503,E405,$A$4:$A$503,A405)&gt;1,"同校全局题目ID重复",IF(COUNTIFS($E$4:$E$503,E405,$H$4:$H$503,H405)&gt;1,"同校本地PID重复",IF(OR(COUNTIFS($A$4:$A$503,A405,$B$4:$B$503,"&lt;&gt;"&amp;B405)&gt;0,COUNTIFS($A$4:$A$503,A405,$C$4:$C$503,"&lt;&gt;"&amp;C405)&gt;0,COUNTIFS($A$4:$A$503,A405,$D$4:$D$503,"&lt;&gt;"&amp;D405)&gt;0,COUNTIFS($A$4:$A$503,A405,$I$4:$I$503,"&lt;&gt;"&amp;I405)&gt;0,COUNTIFS($A$4:$A$503,A405,$J$4:$J$503,"&lt;&gt;"&amp;J405)&gt;0,COUNTIFS($A$4:$A$503,A405,$K$4:$K$503,"&lt;&gt;"&amp;K405)&gt;0,COUNTIFS($A$4:$A$503,A405,$L$4:$L$503,"&lt;&gt;"&amp;L405)&gt;0),"跨校题目配置不一致","通过")))))))</x:f>
      </x:c>
    </x:row>
    <x:row r="406" ht="22" customHeight="1">
      <x:c r="A406" s="70"/>
      <x:c r="B406" s="70"/>
      <x:c r="C406" s="28"/>
      <x:c r="D406" s="28"/>
      <x:c r="E406" s="70"/>
      <x:c r="F406" s="71" t="str">
        <x:f>IFERROR(INDEX('学校信息'!$F$4:$F$53,MATCH(E406,'学校信息'!$A$4:$A$53,0)),"")</x:f>
      </x:c>
      <x:c r="G406" s="71" t="str">
        <x:f>IFERROR(INDEX('学校信息'!$G$4:$G$53,MATCH(E406,'学校信息'!$A$4:$A$53,0)),"")</x:f>
      </x:c>
      <x:c r="H406" s="70"/>
      <x:c r="I406" s="70"/>
      <x:c r="J406" s="70"/>
      <x:c r="K406" s="28"/>
      <x:c r="L406" s="28"/>
      <x:c r="M406" s="60" t="str">
        <x:f>IF(COUNTA(A406:E406)+COUNTA(H406:L406)=0,"",IF(OR(A406="",B406="",C406="",D406="",E406="",H406="",I406="",J406="",K406="",L406=""),"缺少必填项",IF(OR(LEN(I406)&lt;&gt;64,LEN(J406)&lt;&gt;64),"SHA658长度应为64",IF(COUNTIF('学校信息'!$A$4:$A$53,E406)=0,"学校ID不存在",IF(COUNTIFS($E$4:$E$503,E406,$A$4:$A$503,A406)&gt;1,"同校全局题目ID重复",IF(COUNTIFS($E$4:$E$503,E406,$H$4:$H$503,H406)&gt;1,"同校本地PID重复",IF(OR(COUNTIFS($A$4:$A$503,A406,$B$4:$B$503,"&lt;&gt;"&amp;B406)&gt;0,COUNTIFS($A$4:$A$503,A406,$C$4:$C$503,"&lt;&gt;"&amp;C406)&gt;0,COUNTIFS($A$4:$A$503,A406,$D$4:$D$503,"&lt;&gt;"&amp;D406)&gt;0,COUNTIFS($A$4:$A$503,A406,$I$4:$I$503,"&lt;&gt;"&amp;I406)&gt;0,COUNTIFS($A$4:$A$503,A406,$J$4:$J$503,"&lt;&gt;"&amp;J406)&gt;0,COUNTIFS($A$4:$A$503,A406,$K$4:$K$503,"&lt;&gt;"&amp;K406)&gt;0,COUNTIFS($A$4:$A$503,A406,$L$4:$L$503,"&lt;&gt;"&amp;L406)&gt;0),"跨校题目配置不一致","通过")))))))</x:f>
      </x:c>
    </x:row>
    <x:row r="407" ht="22" customHeight="1">
      <x:c r="A407" s="70"/>
      <x:c r="B407" s="70"/>
      <x:c r="C407" s="28"/>
      <x:c r="D407" s="28"/>
      <x:c r="E407" s="70"/>
      <x:c r="F407" s="71" t="str">
        <x:f>IFERROR(INDEX('学校信息'!$F$4:$F$53,MATCH(E407,'学校信息'!$A$4:$A$53,0)),"")</x:f>
      </x:c>
      <x:c r="G407" s="71" t="str">
        <x:f>IFERROR(INDEX('学校信息'!$G$4:$G$53,MATCH(E407,'学校信息'!$A$4:$A$53,0)),"")</x:f>
      </x:c>
      <x:c r="H407" s="70"/>
      <x:c r="I407" s="70"/>
      <x:c r="J407" s="70"/>
      <x:c r="K407" s="28"/>
      <x:c r="L407" s="28"/>
      <x:c r="M407" s="60" t="str">
        <x:f>IF(COUNTA(A407:E407)+COUNTA(H407:L407)=0,"",IF(OR(A407="",B407="",C407="",D407="",E407="",H407="",I407="",J407="",K407="",L407=""),"缺少必填项",IF(OR(LEN(I407)&lt;&gt;64,LEN(J407)&lt;&gt;64),"SHA659长度应为64",IF(COUNTIF('学校信息'!$A$4:$A$53,E407)=0,"学校ID不存在",IF(COUNTIFS($E$4:$E$503,E407,$A$4:$A$503,A407)&gt;1,"同校全局题目ID重复",IF(COUNTIFS($E$4:$E$503,E407,$H$4:$H$503,H407)&gt;1,"同校本地PID重复",IF(OR(COUNTIFS($A$4:$A$503,A407,$B$4:$B$503,"&lt;&gt;"&amp;B407)&gt;0,COUNTIFS($A$4:$A$503,A407,$C$4:$C$503,"&lt;&gt;"&amp;C407)&gt;0,COUNTIFS($A$4:$A$503,A407,$D$4:$D$503,"&lt;&gt;"&amp;D407)&gt;0,COUNTIFS($A$4:$A$503,A407,$I$4:$I$503,"&lt;&gt;"&amp;I407)&gt;0,COUNTIFS($A$4:$A$503,A407,$J$4:$J$503,"&lt;&gt;"&amp;J407)&gt;0,COUNTIFS($A$4:$A$503,A407,$K$4:$K$503,"&lt;&gt;"&amp;K407)&gt;0,COUNTIFS($A$4:$A$503,A407,$L$4:$L$503,"&lt;&gt;"&amp;L407)&gt;0),"跨校题目配置不一致","通过")))))))</x:f>
      </x:c>
    </x:row>
    <x:row r="408" ht="22" customHeight="1">
      <x:c r="A408" s="70"/>
      <x:c r="B408" s="70"/>
      <x:c r="C408" s="28"/>
      <x:c r="D408" s="28"/>
      <x:c r="E408" s="70"/>
      <x:c r="F408" s="71" t="str">
        <x:f>IFERROR(INDEX('学校信息'!$F$4:$F$53,MATCH(E408,'学校信息'!$A$4:$A$53,0)),"")</x:f>
      </x:c>
      <x:c r="G408" s="71" t="str">
        <x:f>IFERROR(INDEX('学校信息'!$G$4:$G$53,MATCH(E408,'学校信息'!$A$4:$A$53,0)),"")</x:f>
      </x:c>
      <x:c r="H408" s="70"/>
      <x:c r="I408" s="70"/>
      <x:c r="J408" s="70"/>
      <x:c r="K408" s="28"/>
      <x:c r="L408" s="28"/>
      <x:c r="M408" s="60" t="str">
        <x:f>IF(COUNTA(A408:E408)+COUNTA(H408:L408)=0,"",IF(OR(A408="",B408="",C408="",D408="",E408="",H408="",I408="",J408="",K408="",L408=""),"缺少必填项",IF(OR(LEN(I408)&lt;&gt;64,LEN(J408)&lt;&gt;64),"SHA660长度应为64",IF(COUNTIF('学校信息'!$A$4:$A$53,E408)=0,"学校ID不存在",IF(COUNTIFS($E$4:$E$503,E408,$A$4:$A$503,A408)&gt;1,"同校全局题目ID重复",IF(COUNTIFS($E$4:$E$503,E408,$H$4:$H$503,H408)&gt;1,"同校本地PID重复",IF(OR(COUNTIFS($A$4:$A$503,A408,$B$4:$B$503,"&lt;&gt;"&amp;B408)&gt;0,COUNTIFS($A$4:$A$503,A408,$C$4:$C$503,"&lt;&gt;"&amp;C408)&gt;0,COUNTIFS($A$4:$A$503,A408,$D$4:$D$503,"&lt;&gt;"&amp;D408)&gt;0,COUNTIFS($A$4:$A$503,A408,$I$4:$I$503,"&lt;&gt;"&amp;I408)&gt;0,COUNTIFS($A$4:$A$503,A408,$J$4:$J$503,"&lt;&gt;"&amp;J408)&gt;0,COUNTIFS($A$4:$A$503,A408,$K$4:$K$503,"&lt;&gt;"&amp;K408)&gt;0,COUNTIFS($A$4:$A$503,A408,$L$4:$L$503,"&lt;&gt;"&amp;L408)&gt;0),"跨校题目配置不一致","通过")))))))</x:f>
      </x:c>
    </x:row>
    <x:row r="409" ht="22" customHeight="1">
      <x:c r="A409" s="70"/>
      <x:c r="B409" s="70"/>
      <x:c r="C409" s="28"/>
      <x:c r="D409" s="28"/>
      <x:c r="E409" s="70"/>
      <x:c r="F409" s="71" t="str">
        <x:f>IFERROR(INDEX('学校信息'!$F$4:$F$53,MATCH(E409,'学校信息'!$A$4:$A$53,0)),"")</x:f>
      </x:c>
      <x:c r="G409" s="71" t="str">
        <x:f>IFERROR(INDEX('学校信息'!$G$4:$G$53,MATCH(E409,'学校信息'!$A$4:$A$53,0)),"")</x:f>
      </x:c>
      <x:c r="H409" s="70"/>
      <x:c r="I409" s="70"/>
      <x:c r="J409" s="70"/>
      <x:c r="K409" s="28"/>
      <x:c r="L409" s="28"/>
      <x:c r="M409" s="60" t="str">
        <x:f>IF(COUNTA(A409:E409)+COUNTA(H409:L409)=0,"",IF(OR(A409="",B409="",C409="",D409="",E409="",H409="",I409="",J409="",K409="",L409=""),"缺少必填项",IF(OR(LEN(I409)&lt;&gt;64,LEN(J409)&lt;&gt;64),"SHA661长度应为64",IF(COUNTIF('学校信息'!$A$4:$A$53,E409)=0,"学校ID不存在",IF(COUNTIFS($E$4:$E$503,E409,$A$4:$A$503,A409)&gt;1,"同校全局题目ID重复",IF(COUNTIFS($E$4:$E$503,E409,$H$4:$H$503,H409)&gt;1,"同校本地PID重复",IF(OR(COUNTIFS($A$4:$A$503,A409,$B$4:$B$503,"&lt;&gt;"&amp;B409)&gt;0,COUNTIFS($A$4:$A$503,A409,$C$4:$C$503,"&lt;&gt;"&amp;C409)&gt;0,COUNTIFS($A$4:$A$503,A409,$D$4:$D$503,"&lt;&gt;"&amp;D409)&gt;0,COUNTIFS($A$4:$A$503,A409,$I$4:$I$503,"&lt;&gt;"&amp;I409)&gt;0,COUNTIFS($A$4:$A$503,A409,$J$4:$J$503,"&lt;&gt;"&amp;J409)&gt;0,COUNTIFS($A$4:$A$503,A409,$K$4:$K$503,"&lt;&gt;"&amp;K409)&gt;0,COUNTIFS($A$4:$A$503,A409,$L$4:$L$503,"&lt;&gt;"&amp;L409)&gt;0),"跨校题目配置不一致","通过")))))))</x:f>
      </x:c>
    </x:row>
    <x:row r="410" ht="22" customHeight="1">
      <x:c r="A410" s="70"/>
      <x:c r="B410" s="70"/>
      <x:c r="C410" s="28"/>
      <x:c r="D410" s="28"/>
      <x:c r="E410" s="70"/>
      <x:c r="F410" s="71" t="str">
        <x:f>IFERROR(INDEX('学校信息'!$F$4:$F$53,MATCH(E410,'学校信息'!$A$4:$A$53,0)),"")</x:f>
      </x:c>
      <x:c r="G410" s="71" t="str">
        <x:f>IFERROR(INDEX('学校信息'!$G$4:$G$53,MATCH(E410,'学校信息'!$A$4:$A$53,0)),"")</x:f>
      </x:c>
      <x:c r="H410" s="70"/>
      <x:c r="I410" s="70"/>
      <x:c r="J410" s="70"/>
      <x:c r="K410" s="28"/>
      <x:c r="L410" s="28"/>
      <x:c r="M410" s="60" t="str">
        <x:f>IF(COUNTA(A410:E410)+COUNTA(H410:L410)=0,"",IF(OR(A410="",B410="",C410="",D410="",E410="",H410="",I410="",J410="",K410="",L410=""),"缺少必填项",IF(OR(LEN(I410)&lt;&gt;64,LEN(J410)&lt;&gt;64),"SHA662长度应为64",IF(COUNTIF('学校信息'!$A$4:$A$53,E410)=0,"学校ID不存在",IF(COUNTIFS($E$4:$E$503,E410,$A$4:$A$503,A410)&gt;1,"同校全局题目ID重复",IF(COUNTIFS($E$4:$E$503,E410,$H$4:$H$503,H410)&gt;1,"同校本地PID重复",IF(OR(COUNTIFS($A$4:$A$503,A410,$B$4:$B$503,"&lt;&gt;"&amp;B410)&gt;0,COUNTIFS($A$4:$A$503,A410,$C$4:$C$503,"&lt;&gt;"&amp;C410)&gt;0,COUNTIFS($A$4:$A$503,A410,$D$4:$D$503,"&lt;&gt;"&amp;D410)&gt;0,COUNTIFS($A$4:$A$503,A410,$I$4:$I$503,"&lt;&gt;"&amp;I410)&gt;0,COUNTIFS($A$4:$A$503,A410,$J$4:$J$503,"&lt;&gt;"&amp;J410)&gt;0,COUNTIFS($A$4:$A$503,A410,$K$4:$K$503,"&lt;&gt;"&amp;K410)&gt;0,COUNTIFS($A$4:$A$503,A410,$L$4:$L$503,"&lt;&gt;"&amp;L410)&gt;0),"跨校题目配置不一致","通过")))))))</x:f>
      </x:c>
    </x:row>
    <x:row r="411" ht="22" customHeight="1">
      <x:c r="A411" s="70"/>
      <x:c r="B411" s="70"/>
      <x:c r="C411" s="28"/>
      <x:c r="D411" s="28"/>
      <x:c r="E411" s="70"/>
      <x:c r="F411" s="71" t="str">
        <x:f>IFERROR(INDEX('学校信息'!$F$4:$F$53,MATCH(E411,'学校信息'!$A$4:$A$53,0)),"")</x:f>
      </x:c>
      <x:c r="G411" s="71" t="str">
        <x:f>IFERROR(INDEX('学校信息'!$G$4:$G$53,MATCH(E411,'学校信息'!$A$4:$A$53,0)),"")</x:f>
      </x:c>
      <x:c r="H411" s="70"/>
      <x:c r="I411" s="70"/>
      <x:c r="J411" s="70"/>
      <x:c r="K411" s="28"/>
      <x:c r="L411" s="28"/>
      <x:c r="M411" s="60" t="str">
        <x:f>IF(COUNTA(A411:E411)+COUNTA(H411:L411)=0,"",IF(OR(A411="",B411="",C411="",D411="",E411="",H411="",I411="",J411="",K411="",L411=""),"缺少必填项",IF(OR(LEN(I411)&lt;&gt;64,LEN(J411)&lt;&gt;64),"SHA663长度应为64",IF(COUNTIF('学校信息'!$A$4:$A$53,E411)=0,"学校ID不存在",IF(COUNTIFS($E$4:$E$503,E411,$A$4:$A$503,A411)&gt;1,"同校全局题目ID重复",IF(COUNTIFS($E$4:$E$503,E411,$H$4:$H$503,H411)&gt;1,"同校本地PID重复",IF(OR(COUNTIFS($A$4:$A$503,A411,$B$4:$B$503,"&lt;&gt;"&amp;B411)&gt;0,COUNTIFS($A$4:$A$503,A411,$C$4:$C$503,"&lt;&gt;"&amp;C411)&gt;0,COUNTIFS($A$4:$A$503,A411,$D$4:$D$503,"&lt;&gt;"&amp;D411)&gt;0,COUNTIFS($A$4:$A$503,A411,$I$4:$I$503,"&lt;&gt;"&amp;I411)&gt;0,COUNTIFS($A$4:$A$503,A411,$J$4:$J$503,"&lt;&gt;"&amp;J411)&gt;0,COUNTIFS($A$4:$A$503,A411,$K$4:$K$503,"&lt;&gt;"&amp;K411)&gt;0,COUNTIFS($A$4:$A$503,A411,$L$4:$L$503,"&lt;&gt;"&amp;L411)&gt;0),"跨校题目配置不一致","通过")))))))</x:f>
      </x:c>
    </x:row>
    <x:row r="412" ht="22" customHeight="1">
      <x:c r="A412" s="70"/>
      <x:c r="B412" s="70"/>
      <x:c r="C412" s="28"/>
      <x:c r="D412" s="28"/>
      <x:c r="E412" s="70"/>
      <x:c r="F412" s="71" t="str">
        <x:f>IFERROR(INDEX('学校信息'!$F$4:$F$53,MATCH(E412,'学校信息'!$A$4:$A$53,0)),"")</x:f>
      </x:c>
      <x:c r="G412" s="71" t="str">
        <x:f>IFERROR(INDEX('学校信息'!$G$4:$G$53,MATCH(E412,'学校信息'!$A$4:$A$53,0)),"")</x:f>
      </x:c>
      <x:c r="H412" s="70"/>
      <x:c r="I412" s="70"/>
      <x:c r="J412" s="70"/>
      <x:c r="K412" s="28"/>
      <x:c r="L412" s="28"/>
      <x:c r="M412" s="60" t="str">
        <x:f>IF(COUNTA(A412:E412)+COUNTA(H412:L412)=0,"",IF(OR(A412="",B412="",C412="",D412="",E412="",H412="",I412="",J412="",K412="",L412=""),"缺少必填项",IF(OR(LEN(I412)&lt;&gt;64,LEN(J412)&lt;&gt;64),"SHA664长度应为64",IF(COUNTIF('学校信息'!$A$4:$A$53,E412)=0,"学校ID不存在",IF(COUNTIFS($E$4:$E$503,E412,$A$4:$A$503,A412)&gt;1,"同校全局题目ID重复",IF(COUNTIFS($E$4:$E$503,E412,$H$4:$H$503,H412)&gt;1,"同校本地PID重复",IF(OR(COUNTIFS($A$4:$A$503,A412,$B$4:$B$503,"&lt;&gt;"&amp;B412)&gt;0,COUNTIFS($A$4:$A$503,A412,$C$4:$C$503,"&lt;&gt;"&amp;C412)&gt;0,COUNTIFS($A$4:$A$503,A412,$D$4:$D$503,"&lt;&gt;"&amp;D412)&gt;0,COUNTIFS($A$4:$A$503,A412,$I$4:$I$503,"&lt;&gt;"&amp;I412)&gt;0,COUNTIFS($A$4:$A$503,A412,$J$4:$J$503,"&lt;&gt;"&amp;J412)&gt;0,COUNTIFS($A$4:$A$503,A412,$K$4:$K$503,"&lt;&gt;"&amp;K412)&gt;0,COUNTIFS($A$4:$A$503,A412,$L$4:$L$503,"&lt;&gt;"&amp;L412)&gt;0),"跨校题目配置不一致","通过")))))))</x:f>
      </x:c>
    </x:row>
    <x:row r="413" ht="22" customHeight="1">
      <x:c r="A413" s="70"/>
      <x:c r="B413" s="70"/>
      <x:c r="C413" s="28"/>
      <x:c r="D413" s="28"/>
      <x:c r="E413" s="70"/>
      <x:c r="F413" s="71" t="str">
        <x:f>IFERROR(INDEX('学校信息'!$F$4:$F$53,MATCH(E413,'学校信息'!$A$4:$A$53,0)),"")</x:f>
      </x:c>
      <x:c r="G413" s="71" t="str">
        <x:f>IFERROR(INDEX('学校信息'!$G$4:$G$53,MATCH(E413,'学校信息'!$A$4:$A$53,0)),"")</x:f>
      </x:c>
      <x:c r="H413" s="70"/>
      <x:c r="I413" s="70"/>
      <x:c r="J413" s="70"/>
      <x:c r="K413" s="28"/>
      <x:c r="L413" s="28"/>
      <x:c r="M413" s="60" t="str">
        <x:f>IF(COUNTA(A413:E413)+COUNTA(H413:L413)=0,"",IF(OR(A413="",B413="",C413="",D413="",E413="",H413="",I413="",J413="",K413="",L413=""),"缺少必填项",IF(OR(LEN(I413)&lt;&gt;64,LEN(J413)&lt;&gt;64),"SHA665长度应为64",IF(COUNTIF('学校信息'!$A$4:$A$53,E413)=0,"学校ID不存在",IF(COUNTIFS($E$4:$E$503,E413,$A$4:$A$503,A413)&gt;1,"同校全局题目ID重复",IF(COUNTIFS($E$4:$E$503,E413,$H$4:$H$503,H413)&gt;1,"同校本地PID重复",IF(OR(COUNTIFS($A$4:$A$503,A413,$B$4:$B$503,"&lt;&gt;"&amp;B413)&gt;0,COUNTIFS($A$4:$A$503,A413,$C$4:$C$503,"&lt;&gt;"&amp;C413)&gt;0,COUNTIFS($A$4:$A$503,A413,$D$4:$D$503,"&lt;&gt;"&amp;D413)&gt;0,COUNTIFS($A$4:$A$503,A413,$I$4:$I$503,"&lt;&gt;"&amp;I413)&gt;0,COUNTIFS($A$4:$A$503,A413,$J$4:$J$503,"&lt;&gt;"&amp;J413)&gt;0,COUNTIFS($A$4:$A$503,A413,$K$4:$K$503,"&lt;&gt;"&amp;K413)&gt;0,COUNTIFS($A$4:$A$503,A413,$L$4:$L$503,"&lt;&gt;"&amp;L413)&gt;0),"跨校题目配置不一致","通过")))))))</x:f>
      </x:c>
    </x:row>
    <x:row r="414" ht="22" customHeight="1">
      <x:c r="A414" s="70"/>
      <x:c r="B414" s="70"/>
      <x:c r="C414" s="28"/>
      <x:c r="D414" s="28"/>
      <x:c r="E414" s="70"/>
      <x:c r="F414" s="71" t="str">
        <x:f>IFERROR(INDEX('学校信息'!$F$4:$F$53,MATCH(E414,'学校信息'!$A$4:$A$53,0)),"")</x:f>
      </x:c>
      <x:c r="G414" s="71" t="str">
        <x:f>IFERROR(INDEX('学校信息'!$G$4:$G$53,MATCH(E414,'学校信息'!$A$4:$A$53,0)),"")</x:f>
      </x:c>
      <x:c r="H414" s="70"/>
      <x:c r="I414" s="70"/>
      <x:c r="J414" s="70"/>
      <x:c r="K414" s="28"/>
      <x:c r="L414" s="28"/>
      <x:c r="M414" s="60" t="str">
        <x:f>IF(COUNTA(A414:E414)+COUNTA(H414:L414)=0,"",IF(OR(A414="",B414="",C414="",D414="",E414="",H414="",I414="",J414="",K414="",L414=""),"缺少必填项",IF(OR(LEN(I414)&lt;&gt;64,LEN(J414)&lt;&gt;64),"SHA666长度应为64",IF(COUNTIF('学校信息'!$A$4:$A$53,E414)=0,"学校ID不存在",IF(COUNTIFS($E$4:$E$503,E414,$A$4:$A$503,A414)&gt;1,"同校全局题目ID重复",IF(COUNTIFS($E$4:$E$503,E414,$H$4:$H$503,H414)&gt;1,"同校本地PID重复",IF(OR(COUNTIFS($A$4:$A$503,A414,$B$4:$B$503,"&lt;&gt;"&amp;B414)&gt;0,COUNTIFS($A$4:$A$503,A414,$C$4:$C$503,"&lt;&gt;"&amp;C414)&gt;0,COUNTIFS($A$4:$A$503,A414,$D$4:$D$503,"&lt;&gt;"&amp;D414)&gt;0,COUNTIFS($A$4:$A$503,A414,$I$4:$I$503,"&lt;&gt;"&amp;I414)&gt;0,COUNTIFS($A$4:$A$503,A414,$J$4:$J$503,"&lt;&gt;"&amp;J414)&gt;0,COUNTIFS($A$4:$A$503,A414,$K$4:$K$503,"&lt;&gt;"&amp;K414)&gt;0,COUNTIFS($A$4:$A$503,A414,$L$4:$L$503,"&lt;&gt;"&amp;L414)&gt;0),"跨校题目配置不一致","通过")))))))</x:f>
      </x:c>
    </x:row>
    <x:row r="415" ht="22" customHeight="1">
      <x:c r="A415" s="70"/>
      <x:c r="B415" s="70"/>
      <x:c r="C415" s="28"/>
      <x:c r="D415" s="28"/>
      <x:c r="E415" s="70"/>
      <x:c r="F415" s="71" t="str">
        <x:f>IFERROR(INDEX('学校信息'!$F$4:$F$53,MATCH(E415,'学校信息'!$A$4:$A$53,0)),"")</x:f>
      </x:c>
      <x:c r="G415" s="71" t="str">
        <x:f>IFERROR(INDEX('学校信息'!$G$4:$G$53,MATCH(E415,'学校信息'!$A$4:$A$53,0)),"")</x:f>
      </x:c>
      <x:c r="H415" s="70"/>
      <x:c r="I415" s="70"/>
      <x:c r="J415" s="70"/>
      <x:c r="K415" s="28"/>
      <x:c r="L415" s="28"/>
      <x:c r="M415" s="60" t="str">
        <x:f>IF(COUNTA(A415:E415)+COUNTA(H415:L415)=0,"",IF(OR(A415="",B415="",C415="",D415="",E415="",H415="",I415="",J415="",K415="",L415=""),"缺少必填项",IF(OR(LEN(I415)&lt;&gt;64,LEN(J415)&lt;&gt;64),"SHA667长度应为64",IF(COUNTIF('学校信息'!$A$4:$A$53,E415)=0,"学校ID不存在",IF(COUNTIFS($E$4:$E$503,E415,$A$4:$A$503,A415)&gt;1,"同校全局题目ID重复",IF(COUNTIFS($E$4:$E$503,E415,$H$4:$H$503,H415)&gt;1,"同校本地PID重复",IF(OR(COUNTIFS($A$4:$A$503,A415,$B$4:$B$503,"&lt;&gt;"&amp;B415)&gt;0,COUNTIFS($A$4:$A$503,A415,$C$4:$C$503,"&lt;&gt;"&amp;C415)&gt;0,COUNTIFS($A$4:$A$503,A415,$D$4:$D$503,"&lt;&gt;"&amp;D415)&gt;0,COUNTIFS($A$4:$A$503,A415,$I$4:$I$503,"&lt;&gt;"&amp;I415)&gt;0,COUNTIFS($A$4:$A$503,A415,$J$4:$J$503,"&lt;&gt;"&amp;J415)&gt;0,COUNTIFS($A$4:$A$503,A415,$K$4:$K$503,"&lt;&gt;"&amp;K415)&gt;0,COUNTIFS($A$4:$A$503,A415,$L$4:$L$503,"&lt;&gt;"&amp;L415)&gt;0),"跨校题目配置不一致","通过")))))))</x:f>
      </x:c>
    </x:row>
    <x:row r="416" ht="22" customHeight="1">
      <x:c r="A416" s="70"/>
      <x:c r="B416" s="70"/>
      <x:c r="C416" s="28"/>
      <x:c r="D416" s="28"/>
      <x:c r="E416" s="70"/>
      <x:c r="F416" s="71" t="str">
        <x:f>IFERROR(INDEX('学校信息'!$F$4:$F$53,MATCH(E416,'学校信息'!$A$4:$A$53,0)),"")</x:f>
      </x:c>
      <x:c r="G416" s="71" t="str">
        <x:f>IFERROR(INDEX('学校信息'!$G$4:$G$53,MATCH(E416,'学校信息'!$A$4:$A$53,0)),"")</x:f>
      </x:c>
      <x:c r="H416" s="70"/>
      <x:c r="I416" s="70"/>
      <x:c r="J416" s="70"/>
      <x:c r="K416" s="28"/>
      <x:c r="L416" s="28"/>
      <x:c r="M416" s="60" t="str">
        <x:f>IF(COUNTA(A416:E416)+COUNTA(H416:L416)=0,"",IF(OR(A416="",B416="",C416="",D416="",E416="",H416="",I416="",J416="",K416="",L416=""),"缺少必填项",IF(OR(LEN(I416)&lt;&gt;64,LEN(J416)&lt;&gt;64),"SHA668长度应为64",IF(COUNTIF('学校信息'!$A$4:$A$53,E416)=0,"学校ID不存在",IF(COUNTIFS($E$4:$E$503,E416,$A$4:$A$503,A416)&gt;1,"同校全局题目ID重复",IF(COUNTIFS($E$4:$E$503,E416,$H$4:$H$503,H416)&gt;1,"同校本地PID重复",IF(OR(COUNTIFS($A$4:$A$503,A416,$B$4:$B$503,"&lt;&gt;"&amp;B416)&gt;0,COUNTIFS($A$4:$A$503,A416,$C$4:$C$503,"&lt;&gt;"&amp;C416)&gt;0,COUNTIFS($A$4:$A$503,A416,$D$4:$D$503,"&lt;&gt;"&amp;D416)&gt;0,COUNTIFS($A$4:$A$503,A416,$I$4:$I$503,"&lt;&gt;"&amp;I416)&gt;0,COUNTIFS($A$4:$A$503,A416,$J$4:$J$503,"&lt;&gt;"&amp;J416)&gt;0,COUNTIFS($A$4:$A$503,A416,$K$4:$K$503,"&lt;&gt;"&amp;K416)&gt;0,COUNTIFS($A$4:$A$503,A416,$L$4:$L$503,"&lt;&gt;"&amp;L416)&gt;0),"跨校题目配置不一致","通过")))))))</x:f>
      </x:c>
    </x:row>
    <x:row r="417" ht="22" customHeight="1">
      <x:c r="A417" s="70"/>
      <x:c r="B417" s="70"/>
      <x:c r="C417" s="28"/>
      <x:c r="D417" s="28"/>
      <x:c r="E417" s="70"/>
      <x:c r="F417" s="71" t="str">
        <x:f>IFERROR(INDEX('学校信息'!$F$4:$F$53,MATCH(E417,'学校信息'!$A$4:$A$53,0)),"")</x:f>
      </x:c>
      <x:c r="G417" s="71" t="str">
        <x:f>IFERROR(INDEX('学校信息'!$G$4:$G$53,MATCH(E417,'学校信息'!$A$4:$A$53,0)),"")</x:f>
      </x:c>
      <x:c r="H417" s="70"/>
      <x:c r="I417" s="70"/>
      <x:c r="J417" s="70"/>
      <x:c r="K417" s="28"/>
      <x:c r="L417" s="28"/>
      <x:c r="M417" s="60" t="str">
        <x:f>IF(COUNTA(A417:E417)+COUNTA(H417:L417)=0,"",IF(OR(A417="",B417="",C417="",D417="",E417="",H417="",I417="",J417="",K417="",L417=""),"缺少必填项",IF(OR(LEN(I417)&lt;&gt;64,LEN(J417)&lt;&gt;64),"SHA669长度应为64",IF(COUNTIF('学校信息'!$A$4:$A$53,E417)=0,"学校ID不存在",IF(COUNTIFS($E$4:$E$503,E417,$A$4:$A$503,A417)&gt;1,"同校全局题目ID重复",IF(COUNTIFS($E$4:$E$503,E417,$H$4:$H$503,H417)&gt;1,"同校本地PID重复",IF(OR(COUNTIFS($A$4:$A$503,A417,$B$4:$B$503,"&lt;&gt;"&amp;B417)&gt;0,COUNTIFS($A$4:$A$503,A417,$C$4:$C$503,"&lt;&gt;"&amp;C417)&gt;0,COUNTIFS($A$4:$A$503,A417,$D$4:$D$503,"&lt;&gt;"&amp;D417)&gt;0,COUNTIFS($A$4:$A$503,A417,$I$4:$I$503,"&lt;&gt;"&amp;I417)&gt;0,COUNTIFS($A$4:$A$503,A417,$J$4:$J$503,"&lt;&gt;"&amp;J417)&gt;0,COUNTIFS($A$4:$A$503,A417,$K$4:$K$503,"&lt;&gt;"&amp;K417)&gt;0,COUNTIFS($A$4:$A$503,A417,$L$4:$L$503,"&lt;&gt;"&amp;L417)&gt;0),"跨校题目配置不一致","通过")))))))</x:f>
      </x:c>
    </x:row>
    <x:row r="418" ht="22" customHeight="1">
      <x:c r="A418" s="70"/>
      <x:c r="B418" s="70"/>
      <x:c r="C418" s="28"/>
      <x:c r="D418" s="28"/>
      <x:c r="E418" s="70"/>
      <x:c r="F418" s="71" t="str">
        <x:f>IFERROR(INDEX('学校信息'!$F$4:$F$53,MATCH(E418,'学校信息'!$A$4:$A$53,0)),"")</x:f>
      </x:c>
      <x:c r="G418" s="71" t="str">
        <x:f>IFERROR(INDEX('学校信息'!$G$4:$G$53,MATCH(E418,'学校信息'!$A$4:$A$53,0)),"")</x:f>
      </x:c>
      <x:c r="H418" s="70"/>
      <x:c r="I418" s="70"/>
      <x:c r="J418" s="70"/>
      <x:c r="K418" s="28"/>
      <x:c r="L418" s="28"/>
      <x:c r="M418" s="60" t="str">
        <x:f>IF(COUNTA(A418:E418)+COUNTA(H418:L418)=0,"",IF(OR(A418="",B418="",C418="",D418="",E418="",H418="",I418="",J418="",K418="",L418=""),"缺少必填项",IF(OR(LEN(I418)&lt;&gt;64,LEN(J418)&lt;&gt;64),"SHA670长度应为64",IF(COUNTIF('学校信息'!$A$4:$A$53,E418)=0,"学校ID不存在",IF(COUNTIFS($E$4:$E$503,E418,$A$4:$A$503,A418)&gt;1,"同校全局题目ID重复",IF(COUNTIFS($E$4:$E$503,E418,$H$4:$H$503,H418)&gt;1,"同校本地PID重复",IF(OR(COUNTIFS($A$4:$A$503,A418,$B$4:$B$503,"&lt;&gt;"&amp;B418)&gt;0,COUNTIFS($A$4:$A$503,A418,$C$4:$C$503,"&lt;&gt;"&amp;C418)&gt;0,COUNTIFS($A$4:$A$503,A418,$D$4:$D$503,"&lt;&gt;"&amp;D418)&gt;0,COUNTIFS($A$4:$A$503,A418,$I$4:$I$503,"&lt;&gt;"&amp;I418)&gt;0,COUNTIFS($A$4:$A$503,A418,$J$4:$J$503,"&lt;&gt;"&amp;J418)&gt;0,COUNTIFS($A$4:$A$503,A418,$K$4:$K$503,"&lt;&gt;"&amp;K418)&gt;0,COUNTIFS($A$4:$A$503,A418,$L$4:$L$503,"&lt;&gt;"&amp;L418)&gt;0),"跨校题目配置不一致","通过")))))))</x:f>
      </x:c>
    </x:row>
    <x:row r="419" ht="22" customHeight="1">
      <x:c r="A419" s="70"/>
      <x:c r="B419" s="70"/>
      <x:c r="C419" s="28"/>
      <x:c r="D419" s="28"/>
      <x:c r="E419" s="70"/>
      <x:c r="F419" s="71" t="str">
        <x:f>IFERROR(INDEX('学校信息'!$F$4:$F$53,MATCH(E419,'学校信息'!$A$4:$A$53,0)),"")</x:f>
      </x:c>
      <x:c r="G419" s="71" t="str">
        <x:f>IFERROR(INDEX('学校信息'!$G$4:$G$53,MATCH(E419,'学校信息'!$A$4:$A$53,0)),"")</x:f>
      </x:c>
      <x:c r="H419" s="70"/>
      <x:c r="I419" s="70"/>
      <x:c r="J419" s="70"/>
      <x:c r="K419" s="28"/>
      <x:c r="L419" s="28"/>
      <x:c r="M419" s="60" t="str">
        <x:f>IF(COUNTA(A419:E419)+COUNTA(H419:L419)=0,"",IF(OR(A419="",B419="",C419="",D419="",E419="",H419="",I419="",J419="",K419="",L419=""),"缺少必填项",IF(OR(LEN(I419)&lt;&gt;64,LEN(J419)&lt;&gt;64),"SHA671长度应为64",IF(COUNTIF('学校信息'!$A$4:$A$53,E419)=0,"学校ID不存在",IF(COUNTIFS($E$4:$E$503,E419,$A$4:$A$503,A419)&gt;1,"同校全局题目ID重复",IF(COUNTIFS($E$4:$E$503,E419,$H$4:$H$503,H419)&gt;1,"同校本地PID重复",IF(OR(COUNTIFS($A$4:$A$503,A419,$B$4:$B$503,"&lt;&gt;"&amp;B419)&gt;0,COUNTIFS($A$4:$A$503,A419,$C$4:$C$503,"&lt;&gt;"&amp;C419)&gt;0,COUNTIFS($A$4:$A$503,A419,$D$4:$D$503,"&lt;&gt;"&amp;D419)&gt;0,COUNTIFS($A$4:$A$503,A419,$I$4:$I$503,"&lt;&gt;"&amp;I419)&gt;0,COUNTIFS($A$4:$A$503,A419,$J$4:$J$503,"&lt;&gt;"&amp;J419)&gt;0,COUNTIFS($A$4:$A$503,A419,$K$4:$K$503,"&lt;&gt;"&amp;K419)&gt;0,COUNTIFS($A$4:$A$503,A419,$L$4:$L$503,"&lt;&gt;"&amp;L419)&gt;0),"跨校题目配置不一致","通过")))))))</x:f>
      </x:c>
    </x:row>
    <x:row r="420" ht="22" customHeight="1">
      <x:c r="A420" s="70"/>
      <x:c r="B420" s="70"/>
      <x:c r="C420" s="28"/>
      <x:c r="D420" s="28"/>
      <x:c r="E420" s="70"/>
      <x:c r="F420" s="71" t="str">
        <x:f>IFERROR(INDEX('学校信息'!$F$4:$F$53,MATCH(E420,'学校信息'!$A$4:$A$53,0)),"")</x:f>
      </x:c>
      <x:c r="G420" s="71" t="str">
        <x:f>IFERROR(INDEX('学校信息'!$G$4:$G$53,MATCH(E420,'学校信息'!$A$4:$A$53,0)),"")</x:f>
      </x:c>
      <x:c r="H420" s="70"/>
      <x:c r="I420" s="70"/>
      <x:c r="J420" s="70"/>
      <x:c r="K420" s="28"/>
      <x:c r="L420" s="28"/>
      <x:c r="M420" s="60" t="str">
        <x:f>IF(COUNTA(A420:E420)+COUNTA(H420:L420)=0,"",IF(OR(A420="",B420="",C420="",D420="",E420="",H420="",I420="",J420="",K420="",L420=""),"缺少必填项",IF(OR(LEN(I420)&lt;&gt;64,LEN(J420)&lt;&gt;64),"SHA672长度应为64",IF(COUNTIF('学校信息'!$A$4:$A$53,E420)=0,"学校ID不存在",IF(COUNTIFS($E$4:$E$503,E420,$A$4:$A$503,A420)&gt;1,"同校全局题目ID重复",IF(COUNTIFS($E$4:$E$503,E420,$H$4:$H$503,H420)&gt;1,"同校本地PID重复",IF(OR(COUNTIFS($A$4:$A$503,A420,$B$4:$B$503,"&lt;&gt;"&amp;B420)&gt;0,COUNTIFS($A$4:$A$503,A420,$C$4:$C$503,"&lt;&gt;"&amp;C420)&gt;0,COUNTIFS($A$4:$A$503,A420,$D$4:$D$503,"&lt;&gt;"&amp;D420)&gt;0,COUNTIFS($A$4:$A$503,A420,$I$4:$I$503,"&lt;&gt;"&amp;I420)&gt;0,COUNTIFS($A$4:$A$503,A420,$J$4:$J$503,"&lt;&gt;"&amp;J420)&gt;0,COUNTIFS($A$4:$A$503,A420,$K$4:$K$503,"&lt;&gt;"&amp;K420)&gt;0,COUNTIFS($A$4:$A$503,A420,$L$4:$L$503,"&lt;&gt;"&amp;L420)&gt;0),"跨校题目配置不一致","通过")))))))</x:f>
      </x:c>
    </x:row>
    <x:row r="421" ht="22" customHeight="1">
      <x:c r="A421" s="70"/>
      <x:c r="B421" s="70"/>
      <x:c r="C421" s="28"/>
      <x:c r="D421" s="28"/>
      <x:c r="E421" s="70"/>
      <x:c r="F421" s="71" t="str">
        <x:f>IFERROR(INDEX('学校信息'!$F$4:$F$53,MATCH(E421,'学校信息'!$A$4:$A$53,0)),"")</x:f>
      </x:c>
      <x:c r="G421" s="71" t="str">
        <x:f>IFERROR(INDEX('学校信息'!$G$4:$G$53,MATCH(E421,'学校信息'!$A$4:$A$53,0)),"")</x:f>
      </x:c>
      <x:c r="H421" s="70"/>
      <x:c r="I421" s="70"/>
      <x:c r="J421" s="70"/>
      <x:c r="K421" s="28"/>
      <x:c r="L421" s="28"/>
      <x:c r="M421" s="60" t="str">
        <x:f>IF(COUNTA(A421:E421)+COUNTA(H421:L421)=0,"",IF(OR(A421="",B421="",C421="",D421="",E421="",H421="",I421="",J421="",K421="",L421=""),"缺少必填项",IF(OR(LEN(I421)&lt;&gt;64,LEN(J421)&lt;&gt;64),"SHA673长度应为64",IF(COUNTIF('学校信息'!$A$4:$A$53,E421)=0,"学校ID不存在",IF(COUNTIFS($E$4:$E$503,E421,$A$4:$A$503,A421)&gt;1,"同校全局题目ID重复",IF(COUNTIFS($E$4:$E$503,E421,$H$4:$H$503,H421)&gt;1,"同校本地PID重复",IF(OR(COUNTIFS($A$4:$A$503,A421,$B$4:$B$503,"&lt;&gt;"&amp;B421)&gt;0,COUNTIFS($A$4:$A$503,A421,$C$4:$C$503,"&lt;&gt;"&amp;C421)&gt;0,COUNTIFS($A$4:$A$503,A421,$D$4:$D$503,"&lt;&gt;"&amp;D421)&gt;0,COUNTIFS($A$4:$A$503,A421,$I$4:$I$503,"&lt;&gt;"&amp;I421)&gt;0,COUNTIFS($A$4:$A$503,A421,$J$4:$J$503,"&lt;&gt;"&amp;J421)&gt;0,COUNTIFS($A$4:$A$503,A421,$K$4:$K$503,"&lt;&gt;"&amp;K421)&gt;0,COUNTIFS($A$4:$A$503,A421,$L$4:$L$503,"&lt;&gt;"&amp;L421)&gt;0),"跨校题目配置不一致","通过")))))))</x:f>
      </x:c>
    </x:row>
    <x:row r="422" ht="22" customHeight="1">
      <x:c r="A422" s="70"/>
      <x:c r="B422" s="70"/>
      <x:c r="C422" s="28"/>
      <x:c r="D422" s="28"/>
      <x:c r="E422" s="70"/>
      <x:c r="F422" s="71" t="str">
        <x:f>IFERROR(INDEX('学校信息'!$F$4:$F$53,MATCH(E422,'学校信息'!$A$4:$A$53,0)),"")</x:f>
      </x:c>
      <x:c r="G422" s="71" t="str">
        <x:f>IFERROR(INDEX('学校信息'!$G$4:$G$53,MATCH(E422,'学校信息'!$A$4:$A$53,0)),"")</x:f>
      </x:c>
      <x:c r="H422" s="70"/>
      <x:c r="I422" s="70"/>
      <x:c r="J422" s="70"/>
      <x:c r="K422" s="28"/>
      <x:c r="L422" s="28"/>
      <x:c r="M422" s="60" t="str">
        <x:f>IF(COUNTA(A422:E422)+COUNTA(H422:L422)=0,"",IF(OR(A422="",B422="",C422="",D422="",E422="",H422="",I422="",J422="",K422="",L422=""),"缺少必填项",IF(OR(LEN(I422)&lt;&gt;64,LEN(J422)&lt;&gt;64),"SHA674长度应为64",IF(COUNTIF('学校信息'!$A$4:$A$53,E422)=0,"学校ID不存在",IF(COUNTIFS($E$4:$E$503,E422,$A$4:$A$503,A422)&gt;1,"同校全局题目ID重复",IF(COUNTIFS($E$4:$E$503,E422,$H$4:$H$503,H422)&gt;1,"同校本地PID重复",IF(OR(COUNTIFS($A$4:$A$503,A422,$B$4:$B$503,"&lt;&gt;"&amp;B422)&gt;0,COUNTIFS($A$4:$A$503,A422,$C$4:$C$503,"&lt;&gt;"&amp;C422)&gt;0,COUNTIFS($A$4:$A$503,A422,$D$4:$D$503,"&lt;&gt;"&amp;D422)&gt;0,COUNTIFS($A$4:$A$503,A422,$I$4:$I$503,"&lt;&gt;"&amp;I422)&gt;0,COUNTIFS($A$4:$A$503,A422,$J$4:$J$503,"&lt;&gt;"&amp;J422)&gt;0,COUNTIFS($A$4:$A$503,A422,$K$4:$K$503,"&lt;&gt;"&amp;K422)&gt;0,COUNTIFS($A$4:$A$503,A422,$L$4:$L$503,"&lt;&gt;"&amp;L422)&gt;0),"跨校题目配置不一致","通过")))))))</x:f>
      </x:c>
    </x:row>
    <x:row r="423" ht="22" customHeight="1">
      <x:c r="A423" s="70"/>
      <x:c r="B423" s="70"/>
      <x:c r="C423" s="28"/>
      <x:c r="D423" s="28"/>
      <x:c r="E423" s="70"/>
      <x:c r="F423" s="71" t="str">
        <x:f>IFERROR(INDEX('学校信息'!$F$4:$F$53,MATCH(E423,'学校信息'!$A$4:$A$53,0)),"")</x:f>
      </x:c>
      <x:c r="G423" s="71" t="str">
        <x:f>IFERROR(INDEX('学校信息'!$G$4:$G$53,MATCH(E423,'学校信息'!$A$4:$A$53,0)),"")</x:f>
      </x:c>
      <x:c r="H423" s="70"/>
      <x:c r="I423" s="70"/>
      <x:c r="J423" s="70"/>
      <x:c r="K423" s="28"/>
      <x:c r="L423" s="28"/>
      <x:c r="M423" s="60" t="str">
        <x:f>IF(COUNTA(A423:E423)+COUNTA(H423:L423)=0,"",IF(OR(A423="",B423="",C423="",D423="",E423="",H423="",I423="",J423="",K423="",L423=""),"缺少必填项",IF(OR(LEN(I423)&lt;&gt;64,LEN(J423)&lt;&gt;64),"SHA675长度应为64",IF(COUNTIF('学校信息'!$A$4:$A$53,E423)=0,"学校ID不存在",IF(COUNTIFS($E$4:$E$503,E423,$A$4:$A$503,A423)&gt;1,"同校全局题目ID重复",IF(COUNTIFS($E$4:$E$503,E423,$H$4:$H$503,H423)&gt;1,"同校本地PID重复",IF(OR(COUNTIFS($A$4:$A$503,A423,$B$4:$B$503,"&lt;&gt;"&amp;B423)&gt;0,COUNTIFS($A$4:$A$503,A423,$C$4:$C$503,"&lt;&gt;"&amp;C423)&gt;0,COUNTIFS($A$4:$A$503,A423,$D$4:$D$503,"&lt;&gt;"&amp;D423)&gt;0,COUNTIFS($A$4:$A$503,A423,$I$4:$I$503,"&lt;&gt;"&amp;I423)&gt;0,COUNTIFS($A$4:$A$503,A423,$J$4:$J$503,"&lt;&gt;"&amp;J423)&gt;0,COUNTIFS($A$4:$A$503,A423,$K$4:$K$503,"&lt;&gt;"&amp;K423)&gt;0,COUNTIFS($A$4:$A$503,A423,$L$4:$L$503,"&lt;&gt;"&amp;L423)&gt;0),"跨校题目配置不一致","通过")))))))</x:f>
      </x:c>
    </x:row>
    <x:row r="424" ht="22" customHeight="1">
      <x:c r="A424" s="70"/>
      <x:c r="B424" s="70"/>
      <x:c r="C424" s="28"/>
      <x:c r="D424" s="28"/>
      <x:c r="E424" s="70"/>
      <x:c r="F424" s="71" t="str">
        <x:f>IFERROR(INDEX('学校信息'!$F$4:$F$53,MATCH(E424,'学校信息'!$A$4:$A$53,0)),"")</x:f>
      </x:c>
      <x:c r="G424" s="71" t="str">
        <x:f>IFERROR(INDEX('学校信息'!$G$4:$G$53,MATCH(E424,'学校信息'!$A$4:$A$53,0)),"")</x:f>
      </x:c>
      <x:c r="H424" s="70"/>
      <x:c r="I424" s="70"/>
      <x:c r="J424" s="70"/>
      <x:c r="K424" s="28"/>
      <x:c r="L424" s="28"/>
      <x:c r="M424" s="60" t="str">
        <x:f>IF(COUNTA(A424:E424)+COUNTA(H424:L424)=0,"",IF(OR(A424="",B424="",C424="",D424="",E424="",H424="",I424="",J424="",K424="",L424=""),"缺少必填项",IF(OR(LEN(I424)&lt;&gt;64,LEN(J424)&lt;&gt;64),"SHA676长度应为64",IF(COUNTIF('学校信息'!$A$4:$A$53,E424)=0,"学校ID不存在",IF(COUNTIFS($E$4:$E$503,E424,$A$4:$A$503,A424)&gt;1,"同校全局题目ID重复",IF(COUNTIFS($E$4:$E$503,E424,$H$4:$H$503,H424)&gt;1,"同校本地PID重复",IF(OR(COUNTIFS($A$4:$A$503,A424,$B$4:$B$503,"&lt;&gt;"&amp;B424)&gt;0,COUNTIFS($A$4:$A$503,A424,$C$4:$C$503,"&lt;&gt;"&amp;C424)&gt;0,COUNTIFS($A$4:$A$503,A424,$D$4:$D$503,"&lt;&gt;"&amp;D424)&gt;0,COUNTIFS($A$4:$A$503,A424,$I$4:$I$503,"&lt;&gt;"&amp;I424)&gt;0,COUNTIFS($A$4:$A$503,A424,$J$4:$J$503,"&lt;&gt;"&amp;J424)&gt;0,COUNTIFS($A$4:$A$503,A424,$K$4:$K$503,"&lt;&gt;"&amp;K424)&gt;0,COUNTIFS($A$4:$A$503,A424,$L$4:$L$503,"&lt;&gt;"&amp;L424)&gt;0),"跨校题目配置不一致","通过")))))))</x:f>
      </x:c>
    </x:row>
    <x:row r="425" ht="22" customHeight="1">
      <x:c r="A425" s="70"/>
      <x:c r="B425" s="70"/>
      <x:c r="C425" s="28"/>
      <x:c r="D425" s="28"/>
      <x:c r="E425" s="70"/>
      <x:c r="F425" s="71" t="str">
        <x:f>IFERROR(INDEX('学校信息'!$F$4:$F$53,MATCH(E425,'学校信息'!$A$4:$A$53,0)),"")</x:f>
      </x:c>
      <x:c r="G425" s="71" t="str">
        <x:f>IFERROR(INDEX('学校信息'!$G$4:$G$53,MATCH(E425,'学校信息'!$A$4:$A$53,0)),"")</x:f>
      </x:c>
      <x:c r="H425" s="70"/>
      <x:c r="I425" s="70"/>
      <x:c r="J425" s="70"/>
      <x:c r="K425" s="28"/>
      <x:c r="L425" s="28"/>
      <x:c r="M425" s="60" t="str">
        <x:f>IF(COUNTA(A425:E425)+COUNTA(H425:L425)=0,"",IF(OR(A425="",B425="",C425="",D425="",E425="",H425="",I425="",J425="",K425="",L425=""),"缺少必填项",IF(OR(LEN(I425)&lt;&gt;64,LEN(J425)&lt;&gt;64),"SHA677长度应为64",IF(COUNTIF('学校信息'!$A$4:$A$53,E425)=0,"学校ID不存在",IF(COUNTIFS($E$4:$E$503,E425,$A$4:$A$503,A425)&gt;1,"同校全局题目ID重复",IF(COUNTIFS($E$4:$E$503,E425,$H$4:$H$503,H425)&gt;1,"同校本地PID重复",IF(OR(COUNTIFS($A$4:$A$503,A425,$B$4:$B$503,"&lt;&gt;"&amp;B425)&gt;0,COUNTIFS($A$4:$A$503,A425,$C$4:$C$503,"&lt;&gt;"&amp;C425)&gt;0,COUNTIFS($A$4:$A$503,A425,$D$4:$D$503,"&lt;&gt;"&amp;D425)&gt;0,COUNTIFS($A$4:$A$503,A425,$I$4:$I$503,"&lt;&gt;"&amp;I425)&gt;0,COUNTIFS($A$4:$A$503,A425,$J$4:$J$503,"&lt;&gt;"&amp;J425)&gt;0,COUNTIFS($A$4:$A$503,A425,$K$4:$K$503,"&lt;&gt;"&amp;K425)&gt;0,COUNTIFS($A$4:$A$503,A425,$L$4:$L$503,"&lt;&gt;"&amp;L425)&gt;0),"跨校题目配置不一致","通过")))))))</x:f>
      </x:c>
    </x:row>
    <x:row r="426" ht="22" customHeight="1">
      <x:c r="A426" s="70"/>
      <x:c r="B426" s="70"/>
      <x:c r="C426" s="28"/>
      <x:c r="D426" s="28"/>
      <x:c r="E426" s="70"/>
      <x:c r="F426" s="71" t="str">
        <x:f>IFERROR(INDEX('学校信息'!$F$4:$F$53,MATCH(E426,'学校信息'!$A$4:$A$53,0)),"")</x:f>
      </x:c>
      <x:c r="G426" s="71" t="str">
        <x:f>IFERROR(INDEX('学校信息'!$G$4:$G$53,MATCH(E426,'学校信息'!$A$4:$A$53,0)),"")</x:f>
      </x:c>
      <x:c r="H426" s="70"/>
      <x:c r="I426" s="70"/>
      <x:c r="J426" s="70"/>
      <x:c r="K426" s="28"/>
      <x:c r="L426" s="28"/>
      <x:c r="M426" s="60" t="str">
        <x:f>IF(COUNTA(A426:E426)+COUNTA(H426:L426)=0,"",IF(OR(A426="",B426="",C426="",D426="",E426="",H426="",I426="",J426="",K426="",L426=""),"缺少必填项",IF(OR(LEN(I426)&lt;&gt;64,LEN(J426)&lt;&gt;64),"SHA678长度应为64",IF(COUNTIF('学校信息'!$A$4:$A$53,E426)=0,"学校ID不存在",IF(COUNTIFS($E$4:$E$503,E426,$A$4:$A$503,A426)&gt;1,"同校全局题目ID重复",IF(COUNTIFS($E$4:$E$503,E426,$H$4:$H$503,H426)&gt;1,"同校本地PID重复",IF(OR(COUNTIFS($A$4:$A$503,A426,$B$4:$B$503,"&lt;&gt;"&amp;B426)&gt;0,COUNTIFS($A$4:$A$503,A426,$C$4:$C$503,"&lt;&gt;"&amp;C426)&gt;0,COUNTIFS($A$4:$A$503,A426,$D$4:$D$503,"&lt;&gt;"&amp;D426)&gt;0,COUNTIFS($A$4:$A$503,A426,$I$4:$I$503,"&lt;&gt;"&amp;I426)&gt;0,COUNTIFS($A$4:$A$503,A426,$J$4:$J$503,"&lt;&gt;"&amp;J426)&gt;0,COUNTIFS($A$4:$A$503,A426,$K$4:$K$503,"&lt;&gt;"&amp;K426)&gt;0,COUNTIFS($A$4:$A$503,A426,$L$4:$L$503,"&lt;&gt;"&amp;L426)&gt;0),"跨校题目配置不一致","通过")))))))</x:f>
      </x:c>
    </x:row>
    <x:row r="427" ht="22" customHeight="1">
      <x:c r="A427" s="70"/>
      <x:c r="B427" s="70"/>
      <x:c r="C427" s="28"/>
      <x:c r="D427" s="28"/>
      <x:c r="E427" s="70"/>
      <x:c r="F427" s="71" t="str">
        <x:f>IFERROR(INDEX('学校信息'!$F$4:$F$53,MATCH(E427,'学校信息'!$A$4:$A$53,0)),"")</x:f>
      </x:c>
      <x:c r="G427" s="71" t="str">
        <x:f>IFERROR(INDEX('学校信息'!$G$4:$G$53,MATCH(E427,'学校信息'!$A$4:$A$53,0)),"")</x:f>
      </x:c>
      <x:c r="H427" s="70"/>
      <x:c r="I427" s="70"/>
      <x:c r="J427" s="70"/>
      <x:c r="K427" s="28"/>
      <x:c r="L427" s="28"/>
      <x:c r="M427" s="60" t="str">
        <x:f>IF(COUNTA(A427:E427)+COUNTA(H427:L427)=0,"",IF(OR(A427="",B427="",C427="",D427="",E427="",H427="",I427="",J427="",K427="",L427=""),"缺少必填项",IF(OR(LEN(I427)&lt;&gt;64,LEN(J427)&lt;&gt;64),"SHA679长度应为64",IF(COUNTIF('学校信息'!$A$4:$A$53,E427)=0,"学校ID不存在",IF(COUNTIFS($E$4:$E$503,E427,$A$4:$A$503,A427)&gt;1,"同校全局题目ID重复",IF(COUNTIFS($E$4:$E$503,E427,$H$4:$H$503,H427)&gt;1,"同校本地PID重复",IF(OR(COUNTIFS($A$4:$A$503,A427,$B$4:$B$503,"&lt;&gt;"&amp;B427)&gt;0,COUNTIFS($A$4:$A$503,A427,$C$4:$C$503,"&lt;&gt;"&amp;C427)&gt;0,COUNTIFS($A$4:$A$503,A427,$D$4:$D$503,"&lt;&gt;"&amp;D427)&gt;0,COUNTIFS($A$4:$A$503,A427,$I$4:$I$503,"&lt;&gt;"&amp;I427)&gt;0,COUNTIFS($A$4:$A$503,A427,$J$4:$J$503,"&lt;&gt;"&amp;J427)&gt;0,COUNTIFS($A$4:$A$503,A427,$K$4:$K$503,"&lt;&gt;"&amp;K427)&gt;0,COUNTIFS($A$4:$A$503,A427,$L$4:$L$503,"&lt;&gt;"&amp;L427)&gt;0),"跨校题目配置不一致","通过")))))))</x:f>
      </x:c>
    </x:row>
    <x:row r="428" ht="22" customHeight="1">
      <x:c r="A428" s="70"/>
      <x:c r="B428" s="70"/>
      <x:c r="C428" s="28"/>
      <x:c r="D428" s="28"/>
      <x:c r="E428" s="70"/>
      <x:c r="F428" s="71" t="str">
        <x:f>IFERROR(INDEX('学校信息'!$F$4:$F$53,MATCH(E428,'学校信息'!$A$4:$A$53,0)),"")</x:f>
      </x:c>
      <x:c r="G428" s="71" t="str">
        <x:f>IFERROR(INDEX('学校信息'!$G$4:$G$53,MATCH(E428,'学校信息'!$A$4:$A$53,0)),"")</x:f>
      </x:c>
      <x:c r="H428" s="70"/>
      <x:c r="I428" s="70"/>
      <x:c r="J428" s="70"/>
      <x:c r="K428" s="28"/>
      <x:c r="L428" s="28"/>
      <x:c r="M428" s="60" t="str">
        <x:f>IF(COUNTA(A428:E428)+COUNTA(H428:L428)=0,"",IF(OR(A428="",B428="",C428="",D428="",E428="",H428="",I428="",J428="",K428="",L428=""),"缺少必填项",IF(OR(LEN(I428)&lt;&gt;64,LEN(J428)&lt;&gt;64),"SHA680长度应为64",IF(COUNTIF('学校信息'!$A$4:$A$53,E428)=0,"学校ID不存在",IF(COUNTIFS($E$4:$E$503,E428,$A$4:$A$503,A428)&gt;1,"同校全局题目ID重复",IF(COUNTIFS($E$4:$E$503,E428,$H$4:$H$503,H428)&gt;1,"同校本地PID重复",IF(OR(COUNTIFS($A$4:$A$503,A428,$B$4:$B$503,"&lt;&gt;"&amp;B428)&gt;0,COUNTIFS($A$4:$A$503,A428,$C$4:$C$503,"&lt;&gt;"&amp;C428)&gt;0,COUNTIFS($A$4:$A$503,A428,$D$4:$D$503,"&lt;&gt;"&amp;D428)&gt;0,COUNTIFS($A$4:$A$503,A428,$I$4:$I$503,"&lt;&gt;"&amp;I428)&gt;0,COUNTIFS($A$4:$A$503,A428,$J$4:$J$503,"&lt;&gt;"&amp;J428)&gt;0,COUNTIFS($A$4:$A$503,A428,$K$4:$K$503,"&lt;&gt;"&amp;K428)&gt;0,COUNTIFS($A$4:$A$503,A428,$L$4:$L$503,"&lt;&gt;"&amp;L428)&gt;0),"跨校题目配置不一致","通过")))))))</x:f>
      </x:c>
    </x:row>
    <x:row r="429" ht="22" customHeight="1">
      <x:c r="A429" s="70"/>
      <x:c r="B429" s="70"/>
      <x:c r="C429" s="28"/>
      <x:c r="D429" s="28"/>
      <x:c r="E429" s="70"/>
      <x:c r="F429" s="71" t="str">
        <x:f>IFERROR(INDEX('学校信息'!$F$4:$F$53,MATCH(E429,'学校信息'!$A$4:$A$53,0)),"")</x:f>
      </x:c>
      <x:c r="G429" s="71" t="str">
        <x:f>IFERROR(INDEX('学校信息'!$G$4:$G$53,MATCH(E429,'学校信息'!$A$4:$A$53,0)),"")</x:f>
      </x:c>
      <x:c r="H429" s="70"/>
      <x:c r="I429" s="70"/>
      <x:c r="J429" s="70"/>
      <x:c r="K429" s="28"/>
      <x:c r="L429" s="28"/>
      <x:c r="M429" s="60" t="str">
        <x:f>IF(COUNTA(A429:E429)+COUNTA(H429:L429)=0,"",IF(OR(A429="",B429="",C429="",D429="",E429="",H429="",I429="",J429="",K429="",L429=""),"缺少必填项",IF(OR(LEN(I429)&lt;&gt;64,LEN(J429)&lt;&gt;64),"SHA681长度应为64",IF(COUNTIF('学校信息'!$A$4:$A$53,E429)=0,"学校ID不存在",IF(COUNTIFS($E$4:$E$503,E429,$A$4:$A$503,A429)&gt;1,"同校全局题目ID重复",IF(COUNTIFS($E$4:$E$503,E429,$H$4:$H$503,H429)&gt;1,"同校本地PID重复",IF(OR(COUNTIFS($A$4:$A$503,A429,$B$4:$B$503,"&lt;&gt;"&amp;B429)&gt;0,COUNTIFS($A$4:$A$503,A429,$C$4:$C$503,"&lt;&gt;"&amp;C429)&gt;0,COUNTIFS($A$4:$A$503,A429,$D$4:$D$503,"&lt;&gt;"&amp;D429)&gt;0,COUNTIFS($A$4:$A$503,A429,$I$4:$I$503,"&lt;&gt;"&amp;I429)&gt;0,COUNTIFS($A$4:$A$503,A429,$J$4:$J$503,"&lt;&gt;"&amp;J429)&gt;0,COUNTIFS($A$4:$A$503,A429,$K$4:$K$503,"&lt;&gt;"&amp;K429)&gt;0,COUNTIFS($A$4:$A$503,A429,$L$4:$L$503,"&lt;&gt;"&amp;L429)&gt;0),"跨校题目配置不一致","通过")))))))</x:f>
      </x:c>
    </x:row>
    <x:row r="430" ht="22" customHeight="1">
      <x:c r="A430" s="70"/>
      <x:c r="B430" s="70"/>
      <x:c r="C430" s="28"/>
      <x:c r="D430" s="28"/>
      <x:c r="E430" s="70"/>
      <x:c r="F430" s="71" t="str">
        <x:f>IFERROR(INDEX('学校信息'!$F$4:$F$53,MATCH(E430,'学校信息'!$A$4:$A$53,0)),"")</x:f>
      </x:c>
      <x:c r="G430" s="71" t="str">
        <x:f>IFERROR(INDEX('学校信息'!$G$4:$G$53,MATCH(E430,'学校信息'!$A$4:$A$53,0)),"")</x:f>
      </x:c>
      <x:c r="H430" s="70"/>
      <x:c r="I430" s="70"/>
      <x:c r="J430" s="70"/>
      <x:c r="K430" s="28"/>
      <x:c r="L430" s="28"/>
      <x:c r="M430" s="60" t="str">
        <x:f>IF(COUNTA(A430:E430)+COUNTA(H430:L430)=0,"",IF(OR(A430="",B430="",C430="",D430="",E430="",H430="",I430="",J430="",K430="",L430=""),"缺少必填项",IF(OR(LEN(I430)&lt;&gt;64,LEN(J430)&lt;&gt;64),"SHA682长度应为64",IF(COUNTIF('学校信息'!$A$4:$A$53,E430)=0,"学校ID不存在",IF(COUNTIFS($E$4:$E$503,E430,$A$4:$A$503,A430)&gt;1,"同校全局题目ID重复",IF(COUNTIFS($E$4:$E$503,E430,$H$4:$H$503,H430)&gt;1,"同校本地PID重复",IF(OR(COUNTIFS($A$4:$A$503,A430,$B$4:$B$503,"&lt;&gt;"&amp;B430)&gt;0,COUNTIFS($A$4:$A$503,A430,$C$4:$C$503,"&lt;&gt;"&amp;C430)&gt;0,COUNTIFS($A$4:$A$503,A430,$D$4:$D$503,"&lt;&gt;"&amp;D430)&gt;0,COUNTIFS($A$4:$A$503,A430,$I$4:$I$503,"&lt;&gt;"&amp;I430)&gt;0,COUNTIFS($A$4:$A$503,A430,$J$4:$J$503,"&lt;&gt;"&amp;J430)&gt;0,COUNTIFS($A$4:$A$503,A430,$K$4:$K$503,"&lt;&gt;"&amp;K430)&gt;0,COUNTIFS($A$4:$A$503,A430,$L$4:$L$503,"&lt;&gt;"&amp;L430)&gt;0),"跨校题目配置不一致","通过")))))))</x:f>
      </x:c>
    </x:row>
    <x:row r="431" ht="22" customHeight="1">
      <x:c r="A431" s="70"/>
      <x:c r="B431" s="70"/>
      <x:c r="C431" s="28"/>
      <x:c r="D431" s="28"/>
      <x:c r="E431" s="70"/>
      <x:c r="F431" s="71" t="str">
        <x:f>IFERROR(INDEX('学校信息'!$F$4:$F$53,MATCH(E431,'学校信息'!$A$4:$A$53,0)),"")</x:f>
      </x:c>
      <x:c r="G431" s="71" t="str">
        <x:f>IFERROR(INDEX('学校信息'!$G$4:$G$53,MATCH(E431,'学校信息'!$A$4:$A$53,0)),"")</x:f>
      </x:c>
      <x:c r="H431" s="70"/>
      <x:c r="I431" s="70"/>
      <x:c r="J431" s="70"/>
      <x:c r="K431" s="28"/>
      <x:c r="L431" s="28"/>
      <x:c r="M431" s="60" t="str">
        <x:f>IF(COUNTA(A431:E431)+COUNTA(H431:L431)=0,"",IF(OR(A431="",B431="",C431="",D431="",E431="",H431="",I431="",J431="",K431="",L431=""),"缺少必填项",IF(OR(LEN(I431)&lt;&gt;64,LEN(J431)&lt;&gt;64),"SHA683长度应为64",IF(COUNTIF('学校信息'!$A$4:$A$53,E431)=0,"学校ID不存在",IF(COUNTIFS($E$4:$E$503,E431,$A$4:$A$503,A431)&gt;1,"同校全局题目ID重复",IF(COUNTIFS($E$4:$E$503,E431,$H$4:$H$503,H431)&gt;1,"同校本地PID重复",IF(OR(COUNTIFS($A$4:$A$503,A431,$B$4:$B$503,"&lt;&gt;"&amp;B431)&gt;0,COUNTIFS($A$4:$A$503,A431,$C$4:$C$503,"&lt;&gt;"&amp;C431)&gt;0,COUNTIFS($A$4:$A$503,A431,$D$4:$D$503,"&lt;&gt;"&amp;D431)&gt;0,COUNTIFS($A$4:$A$503,A431,$I$4:$I$503,"&lt;&gt;"&amp;I431)&gt;0,COUNTIFS($A$4:$A$503,A431,$J$4:$J$503,"&lt;&gt;"&amp;J431)&gt;0,COUNTIFS($A$4:$A$503,A431,$K$4:$K$503,"&lt;&gt;"&amp;K431)&gt;0,COUNTIFS($A$4:$A$503,A431,$L$4:$L$503,"&lt;&gt;"&amp;L431)&gt;0),"跨校题目配置不一致","通过")))))))</x:f>
      </x:c>
    </x:row>
    <x:row r="432" ht="22" customHeight="1">
      <x:c r="A432" s="70"/>
      <x:c r="B432" s="70"/>
      <x:c r="C432" s="28"/>
      <x:c r="D432" s="28"/>
      <x:c r="E432" s="70"/>
      <x:c r="F432" s="71" t="str">
        <x:f>IFERROR(INDEX('学校信息'!$F$4:$F$53,MATCH(E432,'学校信息'!$A$4:$A$53,0)),"")</x:f>
      </x:c>
      <x:c r="G432" s="71" t="str">
        <x:f>IFERROR(INDEX('学校信息'!$G$4:$G$53,MATCH(E432,'学校信息'!$A$4:$A$53,0)),"")</x:f>
      </x:c>
      <x:c r="H432" s="70"/>
      <x:c r="I432" s="70"/>
      <x:c r="J432" s="70"/>
      <x:c r="K432" s="28"/>
      <x:c r="L432" s="28"/>
      <x:c r="M432" s="60" t="str">
        <x:f>IF(COUNTA(A432:E432)+COUNTA(H432:L432)=0,"",IF(OR(A432="",B432="",C432="",D432="",E432="",H432="",I432="",J432="",K432="",L432=""),"缺少必填项",IF(OR(LEN(I432)&lt;&gt;64,LEN(J432)&lt;&gt;64),"SHA684长度应为64",IF(COUNTIF('学校信息'!$A$4:$A$53,E432)=0,"学校ID不存在",IF(COUNTIFS($E$4:$E$503,E432,$A$4:$A$503,A432)&gt;1,"同校全局题目ID重复",IF(COUNTIFS($E$4:$E$503,E432,$H$4:$H$503,H432)&gt;1,"同校本地PID重复",IF(OR(COUNTIFS($A$4:$A$503,A432,$B$4:$B$503,"&lt;&gt;"&amp;B432)&gt;0,COUNTIFS($A$4:$A$503,A432,$C$4:$C$503,"&lt;&gt;"&amp;C432)&gt;0,COUNTIFS($A$4:$A$503,A432,$D$4:$D$503,"&lt;&gt;"&amp;D432)&gt;0,COUNTIFS($A$4:$A$503,A432,$I$4:$I$503,"&lt;&gt;"&amp;I432)&gt;0,COUNTIFS($A$4:$A$503,A432,$J$4:$J$503,"&lt;&gt;"&amp;J432)&gt;0,COUNTIFS($A$4:$A$503,A432,$K$4:$K$503,"&lt;&gt;"&amp;K432)&gt;0,COUNTIFS($A$4:$A$503,A432,$L$4:$L$503,"&lt;&gt;"&amp;L432)&gt;0),"跨校题目配置不一致","通过")))))))</x:f>
      </x:c>
    </x:row>
    <x:row r="433" ht="22" customHeight="1">
      <x:c r="A433" s="70"/>
      <x:c r="B433" s="70"/>
      <x:c r="C433" s="28"/>
      <x:c r="D433" s="28"/>
      <x:c r="E433" s="70"/>
      <x:c r="F433" s="71" t="str">
        <x:f>IFERROR(INDEX('学校信息'!$F$4:$F$53,MATCH(E433,'学校信息'!$A$4:$A$53,0)),"")</x:f>
      </x:c>
      <x:c r="G433" s="71" t="str">
        <x:f>IFERROR(INDEX('学校信息'!$G$4:$G$53,MATCH(E433,'学校信息'!$A$4:$A$53,0)),"")</x:f>
      </x:c>
      <x:c r="H433" s="70"/>
      <x:c r="I433" s="70"/>
      <x:c r="J433" s="70"/>
      <x:c r="K433" s="28"/>
      <x:c r="L433" s="28"/>
      <x:c r="M433" s="60" t="str">
        <x:f>IF(COUNTA(A433:E433)+COUNTA(H433:L433)=0,"",IF(OR(A433="",B433="",C433="",D433="",E433="",H433="",I433="",J433="",K433="",L433=""),"缺少必填项",IF(OR(LEN(I433)&lt;&gt;64,LEN(J433)&lt;&gt;64),"SHA685长度应为64",IF(COUNTIF('学校信息'!$A$4:$A$53,E433)=0,"学校ID不存在",IF(COUNTIFS($E$4:$E$503,E433,$A$4:$A$503,A433)&gt;1,"同校全局题目ID重复",IF(COUNTIFS($E$4:$E$503,E433,$H$4:$H$503,H433)&gt;1,"同校本地PID重复",IF(OR(COUNTIFS($A$4:$A$503,A433,$B$4:$B$503,"&lt;&gt;"&amp;B433)&gt;0,COUNTIFS($A$4:$A$503,A433,$C$4:$C$503,"&lt;&gt;"&amp;C433)&gt;0,COUNTIFS($A$4:$A$503,A433,$D$4:$D$503,"&lt;&gt;"&amp;D433)&gt;0,COUNTIFS($A$4:$A$503,A433,$I$4:$I$503,"&lt;&gt;"&amp;I433)&gt;0,COUNTIFS($A$4:$A$503,A433,$J$4:$J$503,"&lt;&gt;"&amp;J433)&gt;0,COUNTIFS($A$4:$A$503,A433,$K$4:$K$503,"&lt;&gt;"&amp;K433)&gt;0,COUNTIFS($A$4:$A$503,A433,$L$4:$L$503,"&lt;&gt;"&amp;L433)&gt;0),"跨校题目配置不一致","通过")))))))</x:f>
      </x:c>
    </x:row>
    <x:row r="434" ht="22" customHeight="1">
      <x:c r="A434" s="70"/>
      <x:c r="B434" s="70"/>
      <x:c r="C434" s="28"/>
      <x:c r="D434" s="28"/>
      <x:c r="E434" s="70"/>
      <x:c r="F434" s="71" t="str">
        <x:f>IFERROR(INDEX('学校信息'!$F$4:$F$53,MATCH(E434,'学校信息'!$A$4:$A$53,0)),"")</x:f>
      </x:c>
      <x:c r="G434" s="71" t="str">
        <x:f>IFERROR(INDEX('学校信息'!$G$4:$G$53,MATCH(E434,'学校信息'!$A$4:$A$53,0)),"")</x:f>
      </x:c>
      <x:c r="H434" s="70"/>
      <x:c r="I434" s="70"/>
      <x:c r="J434" s="70"/>
      <x:c r="K434" s="28"/>
      <x:c r="L434" s="28"/>
      <x:c r="M434" s="60" t="str">
        <x:f>IF(COUNTA(A434:E434)+COUNTA(H434:L434)=0,"",IF(OR(A434="",B434="",C434="",D434="",E434="",H434="",I434="",J434="",K434="",L434=""),"缺少必填项",IF(OR(LEN(I434)&lt;&gt;64,LEN(J434)&lt;&gt;64),"SHA686长度应为64",IF(COUNTIF('学校信息'!$A$4:$A$53,E434)=0,"学校ID不存在",IF(COUNTIFS($E$4:$E$503,E434,$A$4:$A$503,A434)&gt;1,"同校全局题目ID重复",IF(COUNTIFS($E$4:$E$503,E434,$H$4:$H$503,H434)&gt;1,"同校本地PID重复",IF(OR(COUNTIFS($A$4:$A$503,A434,$B$4:$B$503,"&lt;&gt;"&amp;B434)&gt;0,COUNTIFS($A$4:$A$503,A434,$C$4:$C$503,"&lt;&gt;"&amp;C434)&gt;0,COUNTIFS($A$4:$A$503,A434,$D$4:$D$503,"&lt;&gt;"&amp;D434)&gt;0,COUNTIFS($A$4:$A$503,A434,$I$4:$I$503,"&lt;&gt;"&amp;I434)&gt;0,COUNTIFS($A$4:$A$503,A434,$J$4:$J$503,"&lt;&gt;"&amp;J434)&gt;0,COUNTIFS($A$4:$A$503,A434,$K$4:$K$503,"&lt;&gt;"&amp;K434)&gt;0,COUNTIFS($A$4:$A$503,A434,$L$4:$L$503,"&lt;&gt;"&amp;L434)&gt;0),"跨校题目配置不一致","通过")))))))</x:f>
      </x:c>
    </x:row>
    <x:row r="435" ht="22" customHeight="1">
      <x:c r="A435" s="70"/>
      <x:c r="B435" s="70"/>
      <x:c r="C435" s="28"/>
      <x:c r="D435" s="28"/>
      <x:c r="E435" s="70"/>
      <x:c r="F435" s="71" t="str">
        <x:f>IFERROR(INDEX('学校信息'!$F$4:$F$53,MATCH(E435,'学校信息'!$A$4:$A$53,0)),"")</x:f>
      </x:c>
      <x:c r="G435" s="71" t="str">
        <x:f>IFERROR(INDEX('学校信息'!$G$4:$G$53,MATCH(E435,'学校信息'!$A$4:$A$53,0)),"")</x:f>
      </x:c>
      <x:c r="H435" s="70"/>
      <x:c r="I435" s="70"/>
      <x:c r="J435" s="70"/>
      <x:c r="K435" s="28"/>
      <x:c r="L435" s="28"/>
      <x:c r="M435" s="60" t="str">
        <x:f>IF(COUNTA(A435:E435)+COUNTA(H435:L435)=0,"",IF(OR(A435="",B435="",C435="",D435="",E435="",H435="",I435="",J435="",K435="",L435=""),"缺少必填项",IF(OR(LEN(I435)&lt;&gt;64,LEN(J435)&lt;&gt;64),"SHA687长度应为64",IF(COUNTIF('学校信息'!$A$4:$A$53,E435)=0,"学校ID不存在",IF(COUNTIFS($E$4:$E$503,E435,$A$4:$A$503,A435)&gt;1,"同校全局题目ID重复",IF(COUNTIFS($E$4:$E$503,E435,$H$4:$H$503,H435)&gt;1,"同校本地PID重复",IF(OR(COUNTIFS($A$4:$A$503,A435,$B$4:$B$503,"&lt;&gt;"&amp;B435)&gt;0,COUNTIFS($A$4:$A$503,A435,$C$4:$C$503,"&lt;&gt;"&amp;C435)&gt;0,COUNTIFS($A$4:$A$503,A435,$D$4:$D$503,"&lt;&gt;"&amp;D435)&gt;0,COUNTIFS($A$4:$A$503,A435,$I$4:$I$503,"&lt;&gt;"&amp;I435)&gt;0,COUNTIFS($A$4:$A$503,A435,$J$4:$J$503,"&lt;&gt;"&amp;J435)&gt;0,COUNTIFS($A$4:$A$503,A435,$K$4:$K$503,"&lt;&gt;"&amp;K435)&gt;0,COUNTIFS($A$4:$A$503,A435,$L$4:$L$503,"&lt;&gt;"&amp;L435)&gt;0),"跨校题目配置不一致","通过")))))))</x:f>
      </x:c>
    </x:row>
    <x:row r="436" ht="22" customHeight="1">
      <x:c r="A436" s="70"/>
      <x:c r="B436" s="70"/>
      <x:c r="C436" s="28"/>
      <x:c r="D436" s="28"/>
      <x:c r="E436" s="70"/>
      <x:c r="F436" s="71" t="str">
        <x:f>IFERROR(INDEX('学校信息'!$F$4:$F$53,MATCH(E436,'学校信息'!$A$4:$A$53,0)),"")</x:f>
      </x:c>
      <x:c r="G436" s="71" t="str">
        <x:f>IFERROR(INDEX('学校信息'!$G$4:$G$53,MATCH(E436,'学校信息'!$A$4:$A$53,0)),"")</x:f>
      </x:c>
      <x:c r="H436" s="70"/>
      <x:c r="I436" s="70"/>
      <x:c r="J436" s="70"/>
      <x:c r="K436" s="28"/>
      <x:c r="L436" s="28"/>
      <x:c r="M436" s="60" t="str">
        <x:f>IF(COUNTA(A436:E436)+COUNTA(H436:L436)=0,"",IF(OR(A436="",B436="",C436="",D436="",E436="",H436="",I436="",J436="",K436="",L436=""),"缺少必填项",IF(OR(LEN(I436)&lt;&gt;64,LEN(J436)&lt;&gt;64),"SHA688长度应为64",IF(COUNTIF('学校信息'!$A$4:$A$53,E436)=0,"学校ID不存在",IF(COUNTIFS($E$4:$E$503,E436,$A$4:$A$503,A436)&gt;1,"同校全局题目ID重复",IF(COUNTIFS($E$4:$E$503,E436,$H$4:$H$503,H436)&gt;1,"同校本地PID重复",IF(OR(COUNTIFS($A$4:$A$503,A436,$B$4:$B$503,"&lt;&gt;"&amp;B436)&gt;0,COUNTIFS($A$4:$A$503,A436,$C$4:$C$503,"&lt;&gt;"&amp;C436)&gt;0,COUNTIFS($A$4:$A$503,A436,$D$4:$D$503,"&lt;&gt;"&amp;D436)&gt;0,COUNTIFS($A$4:$A$503,A436,$I$4:$I$503,"&lt;&gt;"&amp;I436)&gt;0,COUNTIFS($A$4:$A$503,A436,$J$4:$J$503,"&lt;&gt;"&amp;J436)&gt;0,COUNTIFS($A$4:$A$503,A436,$K$4:$K$503,"&lt;&gt;"&amp;K436)&gt;0,COUNTIFS($A$4:$A$503,A436,$L$4:$L$503,"&lt;&gt;"&amp;L436)&gt;0),"跨校题目配置不一致","通过")))))))</x:f>
      </x:c>
    </x:row>
    <x:row r="437" ht="22" customHeight="1">
      <x:c r="A437" s="70"/>
      <x:c r="B437" s="70"/>
      <x:c r="C437" s="28"/>
      <x:c r="D437" s="28"/>
      <x:c r="E437" s="70"/>
      <x:c r="F437" s="71" t="str">
        <x:f>IFERROR(INDEX('学校信息'!$F$4:$F$53,MATCH(E437,'学校信息'!$A$4:$A$53,0)),"")</x:f>
      </x:c>
      <x:c r="G437" s="71" t="str">
        <x:f>IFERROR(INDEX('学校信息'!$G$4:$G$53,MATCH(E437,'学校信息'!$A$4:$A$53,0)),"")</x:f>
      </x:c>
      <x:c r="H437" s="70"/>
      <x:c r="I437" s="70"/>
      <x:c r="J437" s="70"/>
      <x:c r="K437" s="28"/>
      <x:c r="L437" s="28"/>
      <x:c r="M437" s="60" t="str">
        <x:f>IF(COUNTA(A437:E437)+COUNTA(H437:L437)=0,"",IF(OR(A437="",B437="",C437="",D437="",E437="",H437="",I437="",J437="",K437="",L437=""),"缺少必填项",IF(OR(LEN(I437)&lt;&gt;64,LEN(J437)&lt;&gt;64),"SHA689长度应为64",IF(COUNTIF('学校信息'!$A$4:$A$53,E437)=0,"学校ID不存在",IF(COUNTIFS($E$4:$E$503,E437,$A$4:$A$503,A437)&gt;1,"同校全局题目ID重复",IF(COUNTIFS($E$4:$E$503,E437,$H$4:$H$503,H437)&gt;1,"同校本地PID重复",IF(OR(COUNTIFS($A$4:$A$503,A437,$B$4:$B$503,"&lt;&gt;"&amp;B437)&gt;0,COUNTIFS($A$4:$A$503,A437,$C$4:$C$503,"&lt;&gt;"&amp;C437)&gt;0,COUNTIFS($A$4:$A$503,A437,$D$4:$D$503,"&lt;&gt;"&amp;D437)&gt;0,COUNTIFS($A$4:$A$503,A437,$I$4:$I$503,"&lt;&gt;"&amp;I437)&gt;0,COUNTIFS($A$4:$A$503,A437,$J$4:$J$503,"&lt;&gt;"&amp;J437)&gt;0,COUNTIFS($A$4:$A$503,A437,$K$4:$K$503,"&lt;&gt;"&amp;K437)&gt;0,COUNTIFS($A$4:$A$503,A437,$L$4:$L$503,"&lt;&gt;"&amp;L437)&gt;0),"跨校题目配置不一致","通过")))))))</x:f>
      </x:c>
    </x:row>
    <x:row r="438" ht="22" customHeight="1">
      <x:c r="A438" s="70"/>
      <x:c r="B438" s="70"/>
      <x:c r="C438" s="28"/>
      <x:c r="D438" s="28"/>
      <x:c r="E438" s="70"/>
      <x:c r="F438" s="71" t="str">
        <x:f>IFERROR(INDEX('学校信息'!$F$4:$F$53,MATCH(E438,'学校信息'!$A$4:$A$53,0)),"")</x:f>
      </x:c>
      <x:c r="G438" s="71" t="str">
        <x:f>IFERROR(INDEX('学校信息'!$G$4:$G$53,MATCH(E438,'学校信息'!$A$4:$A$53,0)),"")</x:f>
      </x:c>
      <x:c r="H438" s="70"/>
      <x:c r="I438" s="70"/>
      <x:c r="J438" s="70"/>
      <x:c r="K438" s="28"/>
      <x:c r="L438" s="28"/>
      <x:c r="M438" s="60" t="str">
        <x:f>IF(COUNTA(A438:E438)+COUNTA(H438:L438)=0,"",IF(OR(A438="",B438="",C438="",D438="",E438="",H438="",I438="",J438="",K438="",L438=""),"缺少必填项",IF(OR(LEN(I438)&lt;&gt;64,LEN(J438)&lt;&gt;64),"SHA690长度应为64",IF(COUNTIF('学校信息'!$A$4:$A$53,E438)=0,"学校ID不存在",IF(COUNTIFS($E$4:$E$503,E438,$A$4:$A$503,A438)&gt;1,"同校全局题目ID重复",IF(COUNTIFS($E$4:$E$503,E438,$H$4:$H$503,H438)&gt;1,"同校本地PID重复",IF(OR(COUNTIFS($A$4:$A$503,A438,$B$4:$B$503,"&lt;&gt;"&amp;B438)&gt;0,COUNTIFS($A$4:$A$503,A438,$C$4:$C$503,"&lt;&gt;"&amp;C438)&gt;0,COUNTIFS($A$4:$A$503,A438,$D$4:$D$503,"&lt;&gt;"&amp;D438)&gt;0,COUNTIFS($A$4:$A$503,A438,$I$4:$I$503,"&lt;&gt;"&amp;I438)&gt;0,COUNTIFS($A$4:$A$503,A438,$J$4:$J$503,"&lt;&gt;"&amp;J438)&gt;0,COUNTIFS($A$4:$A$503,A438,$K$4:$K$503,"&lt;&gt;"&amp;K438)&gt;0,COUNTIFS($A$4:$A$503,A438,$L$4:$L$503,"&lt;&gt;"&amp;L438)&gt;0),"跨校题目配置不一致","通过")))))))</x:f>
      </x:c>
    </x:row>
    <x:row r="439" ht="22" customHeight="1">
      <x:c r="A439" s="70"/>
      <x:c r="B439" s="70"/>
      <x:c r="C439" s="28"/>
      <x:c r="D439" s="28"/>
      <x:c r="E439" s="70"/>
      <x:c r="F439" s="71" t="str">
        <x:f>IFERROR(INDEX('学校信息'!$F$4:$F$53,MATCH(E439,'学校信息'!$A$4:$A$53,0)),"")</x:f>
      </x:c>
      <x:c r="G439" s="71" t="str">
        <x:f>IFERROR(INDEX('学校信息'!$G$4:$G$53,MATCH(E439,'学校信息'!$A$4:$A$53,0)),"")</x:f>
      </x:c>
      <x:c r="H439" s="70"/>
      <x:c r="I439" s="70"/>
      <x:c r="J439" s="70"/>
      <x:c r="K439" s="28"/>
      <x:c r="L439" s="28"/>
      <x:c r="M439" s="60" t="str">
        <x:f>IF(COUNTA(A439:E439)+COUNTA(H439:L439)=0,"",IF(OR(A439="",B439="",C439="",D439="",E439="",H439="",I439="",J439="",K439="",L439=""),"缺少必填项",IF(OR(LEN(I439)&lt;&gt;64,LEN(J439)&lt;&gt;64),"SHA691长度应为64",IF(COUNTIF('学校信息'!$A$4:$A$53,E439)=0,"学校ID不存在",IF(COUNTIFS($E$4:$E$503,E439,$A$4:$A$503,A439)&gt;1,"同校全局题目ID重复",IF(COUNTIFS($E$4:$E$503,E439,$H$4:$H$503,H439)&gt;1,"同校本地PID重复",IF(OR(COUNTIFS($A$4:$A$503,A439,$B$4:$B$503,"&lt;&gt;"&amp;B439)&gt;0,COUNTIFS($A$4:$A$503,A439,$C$4:$C$503,"&lt;&gt;"&amp;C439)&gt;0,COUNTIFS($A$4:$A$503,A439,$D$4:$D$503,"&lt;&gt;"&amp;D439)&gt;0,COUNTIFS($A$4:$A$503,A439,$I$4:$I$503,"&lt;&gt;"&amp;I439)&gt;0,COUNTIFS($A$4:$A$503,A439,$J$4:$J$503,"&lt;&gt;"&amp;J439)&gt;0,COUNTIFS($A$4:$A$503,A439,$K$4:$K$503,"&lt;&gt;"&amp;K439)&gt;0,COUNTIFS($A$4:$A$503,A439,$L$4:$L$503,"&lt;&gt;"&amp;L439)&gt;0),"跨校题目配置不一致","通过")))))))</x:f>
      </x:c>
    </x:row>
    <x:row r="440" ht="22" customHeight="1">
      <x:c r="A440" s="70"/>
      <x:c r="B440" s="70"/>
      <x:c r="C440" s="28"/>
      <x:c r="D440" s="28"/>
      <x:c r="E440" s="70"/>
      <x:c r="F440" s="71" t="str">
        <x:f>IFERROR(INDEX('学校信息'!$F$4:$F$53,MATCH(E440,'学校信息'!$A$4:$A$53,0)),"")</x:f>
      </x:c>
      <x:c r="G440" s="71" t="str">
        <x:f>IFERROR(INDEX('学校信息'!$G$4:$G$53,MATCH(E440,'学校信息'!$A$4:$A$53,0)),"")</x:f>
      </x:c>
      <x:c r="H440" s="70"/>
      <x:c r="I440" s="70"/>
      <x:c r="J440" s="70"/>
      <x:c r="K440" s="28"/>
      <x:c r="L440" s="28"/>
      <x:c r="M440" s="60" t="str">
        <x:f>IF(COUNTA(A440:E440)+COUNTA(H440:L440)=0,"",IF(OR(A440="",B440="",C440="",D440="",E440="",H440="",I440="",J440="",K440="",L440=""),"缺少必填项",IF(OR(LEN(I440)&lt;&gt;64,LEN(J440)&lt;&gt;64),"SHA692长度应为64",IF(COUNTIF('学校信息'!$A$4:$A$53,E440)=0,"学校ID不存在",IF(COUNTIFS($E$4:$E$503,E440,$A$4:$A$503,A440)&gt;1,"同校全局题目ID重复",IF(COUNTIFS($E$4:$E$503,E440,$H$4:$H$503,H440)&gt;1,"同校本地PID重复",IF(OR(COUNTIFS($A$4:$A$503,A440,$B$4:$B$503,"&lt;&gt;"&amp;B440)&gt;0,COUNTIFS($A$4:$A$503,A440,$C$4:$C$503,"&lt;&gt;"&amp;C440)&gt;0,COUNTIFS($A$4:$A$503,A440,$D$4:$D$503,"&lt;&gt;"&amp;D440)&gt;0,COUNTIFS($A$4:$A$503,A440,$I$4:$I$503,"&lt;&gt;"&amp;I440)&gt;0,COUNTIFS($A$4:$A$503,A440,$J$4:$J$503,"&lt;&gt;"&amp;J440)&gt;0,COUNTIFS($A$4:$A$503,A440,$K$4:$K$503,"&lt;&gt;"&amp;K440)&gt;0,COUNTIFS($A$4:$A$503,A440,$L$4:$L$503,"&lt;&gt;"&amp;L440)&gt;0),"跨校题目配置不一致","通过")))))))</x:f>
      </x:c>
    </x:row>
    <x:row r="441" ht="22" customHeight="1">
      <x:c r="A441" s="70"/>
      <x:c r="B441" s="70"/>
      <x:c r="C441" s="28"/>
      <x:c r="D441" s="28"/>
      <x:c r="E441" s="70"/>
      <x:c r="F441" s="71" t="str">
        <x:f>IFERROR(INDEX('学校信息'!$F$4:$F$53,MATCH(E441,'学校信息'!$A$4:$A$53,0)),"")</x:f>
      </x:c>
      <x:c r="G441" s="71" t="str">
        <x:f>IFERROR(INDEX('学校信息'!$G$4:$G$53,MATCH(E441,'学校信息'!$A$4:$A$53,0)),"")</x:f>
      </x:c>
      <x:c r="H441" s="70"/>
      <x:c r="I441" s="70"/>
      <x:c r="J441" s="70"/>
      <x:c r="K441" s="28"/>
      <x:c r="L441" s="28"/>
      <x:c r="M441" s="60" t="str">
        <x:f>IF(COUNTA(A441:E441)+COUNTA(H441:L441)=0,"",IF(OR(A441="",B441="",C441="",D441="",E441="",H441="",I441="",J441="",K441="",L441=""),"缺少必填项",IF(OR(LEN(I441)&lt;&gt;64,LEN(J441)&lt;&gt;64),"SHA693长度应为64",IF(COUNTIF('学校信息'!$A$4:$A$53,E441)=0,"学校ID不存在",IF(COUNTIFS($E$4:$E$503,E441,$A$4:$A$503,A441)&gt;1,"同校全局题目ID重复",IF(COUNTIFS($E$4:$E$503,E441,$H$4:$H$503,H441)&gt;1,"同校本地PID重复",IF(OR(COUNTIFS($A$4:$A$503,A441,$B$4:$B$503,"&lt;&gt;"&amp;B441)&gt;0,COUNTIFS($A$4:$A$503,A441,$C$4:$C$503,"&lt;&gt;"&amp;C441)&gt;0,COUNTIFS($A$4:$A$503,A441,$D$4:$D$503,"&lt;&gt;"&amp;D441)&gt;0,COUNTIFS($A$4:$A$503,A441,$I$4:$I$503,"&lt;&gt;"&amp;I441)&gt;0,COUNTIFS($A$4:$A$503,A441,$J$4:$J$503,"&lt;&gt;"&amp;J441)&gt;0,COUNTIFS($A$4:$A$503,A441,$K$4:$K$503,"&lt;&gt;"&amp;K441)&gt;0,COUNTIFS($A$4:$A$503,A441,$L$4:$L$503,"&lt;&gt;"&amp;L441)&gt;0),"跨校题目配置不一致","通过")))))))</x:f>
      </x:c>
    </x:row>
    <x:row r="442" ht="22" customHeight="1">
      <x:c r="A442" s="70"/>
      <x:c r="B442" s="70"/>
      <x:c r="C442" s="28"/>
      <x:c r="D442" s="28"/>
      <x:c r="E442" s="70"/>
      <x:c r="F442" s="71" t="str">
        <x:f>IFERROR(INDEX('学校信息'!$F$4:$F$53,MATCH(E442,'学校信息'!$A$4:$A$53,0)),"")</x:f>
      </x:c>
      <x:c r="G442" s="71" t="str">
        <x:f>IFERROR(INDEX('学校信息'!$G$4:$G$53,MATCH(E442,'学校信息'!$A$4:$A$53,0)),"")</x:f>
      </x:c>
      <x:c r="H442" s="70"/>
      <x:c r="I442" s="70"/>
      <x:c r="J442" s="70"/>
      <x:c r="K442" s="28"/>
      <x:c r="L442" s="28"/>
      <x:c r="M442" s="60" t="str">
        <x:f>IF(COUNTA(A442:E442)+COUNTA(H442:L442)=0,"",IF(OR(A442="",B442="",C442="",D442="",E442="",H442="",I442="",J442="",K442="",L442=""),"缺少必填项",IF(OR(LEN(I442)&lt;&gt;64,LEN(J442)&lt;&gt;64),"SHA694长度应为64",IF(COUNTIF('学校信息'!$A$4:$A$53,E442)=0,"学校ID不存在",IF(COUNTIFS($E$4:$E$503,E442,$A$4:$A$503,A442)&gt;1,"同校全局题目ID重复",IF(COUNTIFS($E$4:$E$503,E442,$H$4:$H$503,H442)&gt;1,"同校本地PID重复",IF(OR(COUNTIFS($A$4:$A$503,A442,$B$4:$B$503,"&lt;&gt;"&amp;B442)&gt;0,COUNTIFS($A$4:$A$503,A442,$C$4:$C$503,"&lt;&gt;"&amp;C442)&gt;0,COUNTIFS($A$4:$A$503,A442,$D$4:$D$503,"&lt;&gt;"&amp;D442)&gt;0,COUNTIFS($A$4:$A$503,A442,$I$4:$I$503,"&lt;&gt;"&amp;I442)&gt;0,COUNTIFS($A$4:$A$503,A442,$J$4:$J$503,"&lt;&gt;"&amp;J442)&gt;0,COUNTIFS($A$4:$A$503,A442,$K$4:$K$503,"&lt;&gt;"&amp;K442)&gt;0,COUNTIFS($A$4:$A$503,A442,$L$4:$L$503,"&lt;&gt;"&amp;L442)&gt;0),"跨校题目配置不一致","通过")))))))</x:f>
      </x:c>
    </x:row>
    <x:row r="443" ht="22" customHeight="1">
      <x:c r="A443" s="70"/>
      <x:c r="B443" s="70"/>
      <x:c r="C443" s="28"/>
      <x:c r="D443" s="28"/>
      <x:c r="E443" s="70"/>
      <x:c r="F443" s="71" t="str">
        <x:f>IFERROR(INDEX('学校信息'!$F$4:$F$53,MATCH(E443,'学校信息'!$A$4:$A$53,0)),"")</x:f>
      </x:c>
      <x:c r="G443" s="71" t="str">
        <x:f>IFERROR(INDEX('学校信息'!$G$4:$G$53,MATCH(E443,'学校信息'!$A$4:$A$53,0)),"")</x:f>
      </x:c>
      <x:c r="H443" s="70"/>
      <x:c r="I443" s="70"/>
      <x:c r="J443" s="70"/>
      <x:c r="K443" s="28"/>
      <x:c r="L443" s="28"/>
      <x:c r="M443" s="60" t="str">
        <x:f>IF(COUNTA(A443:E443)+COUNTA(H443:L443)=0,"",IF(OR(A443="",B443="",C443="",D443="",E443="",H443="",I443="",J443="",K443="",L443=""),"缺少必填项",IF(OR(LEN(I443)&lt;&gt;64,LEN(J443)&lt;&gt;64),"SHA695长度应为64",IF(COUNTIF('学校信息'!$A$4:$A$53,E443)=0,"学校ID不存在",IF(COUNTIFS($E$4:$E$503,E443,$A$4:$A$503,A443)&gt;1,"同校全局题目ID重复",IF(COUNTIFS($E$4:$E$503,E443,$H$4:$H$503,H443)&gt;1,"同校本地PID重复",IF(OR(COUNTIFS($A$4:$A$503,A443,$B$4:$B$503,"&lt;&gt;"&amp;B443)&gt;0,COUNTIFS($A$4:$A$503,A443,$C$4:$C$503,"&lt;&gt;"&amp;C443)&gt;0,COUNTIFS($A$4:$A$503,A443,$D$4:$D$503,"&lt;&gt;"&amp;D443)&gt;0,COUNTIFS($A$4:$A$503,A443,$I$4:$I$503,"&lt;&gt;"&amp;I443)&gt;0,COUNTIFS($A$4:$A$503,A443,$J$4:$J$503,"&lt;&gt;"&amp;J443)&gt;0,COUNTIFS($A$4:$A$503,A443,$K$4:$K$503,"&lt;&gt;"&amp;K443)&gt;0,COUNTIFS($A$4:$A$503,A443,$L$4:$L$503,"&lt;&gt;"&amp;L443)&gt;0),"跨校题目配置不一致","通过")))))))</x:f>
      </x:c>
    </x:row>
    <x:row r="444" ht="22" customHeight="1">
      <x:c r="A444" s="70"/>
      <x:c r="B444" s="70"/>
      <x:c r="C444" s="28"/>
      <x:c r="D444" s="28"/>
      <x:c r="E444" s="70"/>
      <x:c r="F444" s="71" t="str">
        <x:f>IFERROR(INDEX('学校信息'!$F$4:$F$53,MATCH(E444,'学校信息'!$A$4:$A$53,0)),"")</x:f>
      </x:c>
      <x:c r="G444" s="71" t="str">
        <x:f>IFERROR(INDEX('学校信息'!$G$4:$G$53,MATCH(E444,'学校信息'!$A$4:$A$53,0)),"")</x:f>
      </x:c>
      <x:c r="H444" s="70"/>
      <x:c r="I444" s="70"/>
      <x:c r="J444" s="70"/>
      <x:c r="K444" s="28"/>
      <x:c r="L444" s="28"/>
      <x:c r="M444" s="60" t="str">
        <x:f>IF(COUNTA(A444:E444)+COUNTA(H444:L444)=0,"",IF(OR(A444="",B444="",C444="",D444="",E444="",H444="",I444="",J444="",K444="",L444=""),"缺少必填项",IF(OR(LEN(I444)&lt;&gt;64,LEN(J444)&lt;&gt;64),"SHA696长度应为64",IF(COUNTIF('学校信息'!$A$4:$A$53,E444)=0,"学校ID不存在",IF(COUNTIFS($E$4:$E$503,E444,$A$4:$A$503,A444)&gt;1,"同校全局题目ID重复",IF(COUNTIFS($E$4:$E$503,E444,$H$4:$H$503,H444)&gt;1,"同校本地PID重复",IF(OR(COUNTIFS($A$4:$A$503,A444,$B$4:$B$503,"&lt;&gt;"&amp;B444)&gt;0,COUNTIFS($A$4:$A$503,A444,$C$4:$C$503,"&lt;&gt;"&amp;C444)&gt;0,COUNTIFS($A$4:$A$503,A444,$D$4:$D$503,"&lt;&gt;"&amp;D444)&gt;0,COUNTIFS($A$4:$A$503,A444,$I$4:$I$503,"&lt;&gt;"&amp;I444)&gt;0,COUNTIFS($A$4:$A$503,A444,$J$4:$J$503,"&lt;&gt;"&amp;J444)&gt;0,COUNTIFS($A$4:$A$503,A444,$K$4:$K$503,"&lt;&gt;"&amp;K444)&gt;0,COUNTIFS($A$4:$A$503,A444,$L$4:$L$503,"&lt;&gt;"&amp;L444)&gt;0),"跨校题目配置不一致","通过")))))))</x:f>
      </x:c>
    </x:row>
    <x:row r="445" ht="22" customHeight="1">
      <x:c r="A445" s="70"/>
      <x:c r="B445" s="70"/>
      <x:c r="C445" s="28"/>
      <x:c r="D445" s="28"/>
      <x:c r="E445" s="70"/>
      <x:c r="F445" s="71" t="str">
        <x:f>IFERROR(INDEX('学校信息'!$F$4:$F$53,MATCH(E445,'学校信息'!$A$4:$A$53,0)),"")</x:f>
      </x:c>
      <x:c r="G445" s="71" t="str">
        <x:f>IFERROR(INDEX('学校信息'!$G$4:$G$53,MATCH(E445,'学校信息'!$A$4:$A$53,0)),"")</x:f>
      </x:c>
      <x:c r="H445" s="70"/>
      <x:c r="I445" s="70"/>
      <x:c r="J445" s="70"/>
      <x:c r="K445" s="28"/>
      <x:c r="L445" s="28"/>
      <x:c r="M445" s="60" t="str">
        <x:f>IF(COUNTA(A445:E445)+COUNTA(H445:L445)=0,"",IF(OR(A445="",B445="",C445="",D445="",E445="",H445="",I445="",J445="",K445="",L445=""),"缺少必填项",IF(OR(LEN(I445)&lt;&gt;64,LEN(J445)&lt;&gt;64),"SHA697长度应为64",IF(COUNTIF('学校信息'!$A$4:$A$53,E445)=0,"学校ID不存在",IF(COUNTIFS($E$4:$E$503,E445,$A$4:$A$503,A445)&gt;1,"同校全局题目ID重复",IF(COUNTIFS($E$4:$E$503,E445,$H$4:$H$503,H445)&gt;1,"同校本地PID重复",IF(OR(COUNTIFS($A$4:$A$503,A445,$B$4:$B$503,"&lt;&gt;"&amp;B445)&gt;0,COUNTIFS($A$4:$A$503,A445,$C$4:$C$503,"&lt;&gt;"&amp;C445)&gt;0,COUNTIFS($A$4:$A$503,A445,$D$4:$D$503,"&lt;&gt;"&amp;D445)&gt;0,COUNTIFS($A$4:$A$503,A445,$I$4:$I$503,"&lt;&gt;"&amp;I445)&gt;0,COUNTIFS($A$4:$A$503,A445,$J$4:$J$503,"&lt;&gt;"&amp;J445)&gt;0,COUNTIFS($A$4:$A$503,A445,$K$4:$K$503,"&lt;&gt;"&amp;K445)&gt;0,COUNTIFS($A$4:$A$503,A445,$L$4:$L$503,"&lt;&gt;"&amp;L445)&gt;0),"跨校题目配置不一致","通过")))))))</x:f>
      </x:c>
    </x:row>
    <x:row r="446" ht="22" customHeight="1">
      <x:c r="A446" s="70"/>
      <x:c r="B446" s="70"/>
      <x:c r="C446" s="28"/>
      <x:c r="D446" s="28"/>
      <x:c r="E446" s="70"/>
      <x:c r="F446" s="71" t="str">
        <x:f>IFERROR(INDEX('学校信息'!$F$4:$F$53,MATCH(E446,'学校信息'!$A$4:$A$53,0)),"")</x:f>
      </x:c>
      <x:c r="G446" s="71" t="str">
        <x:f>IFERROR(INDEX('学校信息'!$G$4:$G$53,MATCH(E446,'学校信息'!$A$4:$A$53,0)),"")</x:f>
      </x:c>
      <x:c r="H446" s="70"/>
      <x:c r="I446" s="70"/>
      <x:c r="J446" s="70"/>
      <x:c r="K446" s="28"/>
      <x:c r="L446" s="28"/>
      <x:c r="M446" s="60" t="str">
        <x:f>IF(COUNTA(A446:E446)+COUNTA(H446:L446)=0,"",IF(OR(A446="",B446="",C446="",D446="",E446="",H446="",I446="",J446="",K446="",L446=""),"缺少必填项",IF(OR(LEN(I446)&lt;&gt;64,LEN(J446)&lt;&gt;64),"SHA698长度应为64",IF(COUNTIF('学校信息'!$A$4:$A$53,E446)=0,"学校ID不存在",IF(COUNTIFS($E$4:$E$503,E446,$A$4:$A$503,A446)&gt;1,"同校全局题目ID重复",IF(COUNTIFS($E$4:$E$503,E446,$H$4:$H$503,H446)&gt;1,"同校本地PID重复",IF(OR(COUNTIFS($A$4:$A$503,A446,$B$4:$B$503,"&lt;&gt;"&amp;B446)&gt;0,COUNTIFS($A$4:$A$503,A446,$C$4:$C$503,"&lt;&gt;"&amp;C446)&gt;0,COUNTIFS($A$4:$A$503,A446,$D$4:$D$503,"&lt;&gt;"&amp;D446)&gt;0,COUNTIFS($A$4:$A$503,A446,$I$4:$I$503,"&lt;&gt;"&amp;I446)&gt;0,COUNTIFS($A$4:$A$503,A446,$J$4:$J$503,"&lt;&gt;"&amp;J446)&gt;0,COUNTIFS($A$4:$A$503,A446,$K$4:$K$503,"&lt;&gt;"&amp;K446)&gt;0,COUNTIFS($A$4:$A$503,A446,$L$4:$L$503,"&lt;&gt;"&amp;L446)&gt;0),"跨校题目配置不一致","通过")))))))</x:f>
      </x:c>
    </x:row>
    <x:row r="447" ht="22" customHeight="1">
      <x:c r="A447" s="70"/>
      <x:c r="B447" s="70"/>
      <x:c r="C447" s="28"/>
      <x:c r="D447" s="28"/>
      <x:c r="E447" s="70"/>
      <x:c r="F447" s="71" t="str">
        <x:f>IFERROR(INDEX('学校信息'!$F$4:$F$53,MATCH(E447,'学校信息'!$A$4:$A$53,0)),"")</x:f>
      </x:c>
      <x:c r="G447" s="71" t="str">
        <x:f>IFERROR(INDEX('学校信息'!$G$4:$G$53,MATCH(E447,'学校信息'!$A$4:$A$53,0)),"")</x:f>
      </x:c>
      <x:c r="H447" s="70"/>
      <x:c r="I447" s="70"/>
      <x:c r="J447" s="70"/>
      <x:c r="K447" s="28"/>
      <x:c r="L447" s="28"/>
      <x:c r="M447" s="60" t="str">
        <x:f>IF(COUNTA(A447:E447)+COUNTA(H447:L447)=0,"",IF(OR(A447="",B447="",C447="",D447="",E447="",H447="",I447="",J447="",K447="",L447=""),"缺少必填项",IF(OR(LEN(I447)&lt;&gt;64,LEN(J447)&lt;&gt;64),"SHA699长度应为64",IF(COUNTIF('学校信息'!$A$4:$A$53,E447)=0,"学校ID不存在",IF(COUNTIFS($E$4:$E$503,E447,$A$4:$A$503,A447)&gt;1,"同校全局题目ID重复",IF(COUNTIFS($E$4:$E$503,E447,$H$4:$H$503,H447)&gt;1,"同校本地PID重复",IF(OR(COUNTIFS($A$4:$A$503,A447,$B$4:$B$503,"&lt;&gt;"&amp;B447)&gt;0,COUNTIFS($A$4:$A$503,A447,$C$4:$C$503,"&lt;&gt;"&amp;C447)&gt;0,COUNTIFS($A$4:$A$503,A447,$D$4:$D$503,"&lt;&gt;"&amp;D447)&gt;0,COUNTIFS($A$4:$A$503,A447,$I$4:$I$503,"&lt;&gt;"&amp;I447)&gt;0,COUNTIFS($A$4:$A$503,A447,$J$4:$J$503,"&lt;&gt;"&amp;J447)&gt;0,COUNTIFS($A$4:$A$503,A447,$K$4:$K$503,"&lt;&gt;"&amp;K447)&gt;0,COUNTIFS($A$4:$A$503,A447,$L$4:$L$503,"&lt;&gt;"&amp;L447)&gt;0),"跨校题目配置不一致","通过")))))))</x:f>
      </x:c>
    </x:row>
    <x:row r="448" ht="22" customHeight="1">
      <x:c r="A448" s="70"/>
      <x:c r="B448" s="70"/>
      <x:c r="C448" s="28"/>
      <x:c r="D448" s="28"/>
      <x:c r="E448" s="70"/>
      <x:c r="F448" s="71" t="str">
        <x:f>IFERROR(INDEX('学校信息'!$F$4:$F$53,MATCH(E448,'学校信息'!$A$4:$A$53,0)),"")</x:f>
      </x:c>
      <x:c r="G448" s="71" t="str">
        <x:f>IFERROR(INDEX('学校信息'!$G$4:$G$53,MATCH(E448,'学校信息'!$A$4:$A$53,0)),"")</x:f>
      </x:c>
      <x:c r="H448" s="70"/>
      <x:c r="I448" s="70"/>
      <x:c r="J448" s="70"/>
      <x:c r="K448" s="28"/>
      <x:c r="L448" s="28"/>
      <x:c r="M448" s="60" t="str">
        <x:f>IF(COUNTA(A448:E448)+COUNTA(H448:L448)=0,"",IF(OR(A448="",B448="",C448="",D448="",E448="",H448="",I448="",J448="",K448="",L448=""),"缺少必填项",IF(OR(LEN(I448)&lt;&gt;64,LEN(J448)&lt;&gt;64),"SHA700长度应为64",IF(COUNTIF('学校信息'!$A$4:$A$53,E448)=0,"学校ID不存在",IF(COUNTIFS($E$4:$E$503,E448,$A$4:$A$503,A448)&gt;1,"同校全局题目ID重复",IF(COUNTIFS($E$4:$E$503,E448,$H$4:$H$503,H448)&gt;1,"同校本地PID重复",IF(OR(COUNTIFS($A$4:$A$503,A448,$B$4:$B$503,"&lt;&gt;"&amp;B448)&gt;0,COUNTIFS($A$4:$A$503,A448,$C$4:$C$503,"&lt;&gt;"&amp;C448)&gt;0,COUNTIFS($A$4:$A$503,A448,$D$4:$D$503,"&lt;&gt;"&amp;D448)&gt;0,COUNTIFS($A$4:$A$503,A448,$I$4:$I$503,"&lt;&gt;"&amp;I448)&gt;0,COUNTIFS($A$4:$A$503,A448,$J$4:$J$503,"&lt;&gt;"&amp;J448)&gt;0,COUNTIFS($A$4:$A$503,A448,$K$4:$K$503,"&lt;&gt;"&amp;K448)&gt;0,COUNTIFS($A$4:$A$503,A448,$L$4:$L$503,"&lt;&gt;"&amp;L448)&gt;0),"跨校题目配置不一致","通过")))))))</x:f>
      </x:c>
    </x:row>
    <x:row r="449" ht="22" customHeight="1">
      <x:c r="A449" s="70"/>
      <x:c r="B449" s="70"/>
      <x:c r="C449" s="28"/>
      <x:c r="D449" s="28"/>
      <x:c r="E449" s="70"/>
      <x:c r="F449" s="71" t="str">
        <x:f>IFERROR(INDEX('学校信息'!$F$4:$F$53,MATCH(E449,'学校信息'!$A$4:$A$53,0)),"")</x:f>
      </x:c>
      <x:c r="G449" s="71" t="str">
        <x:f>IFERROR(INDEX('学校信息'!$G$4:$G$53,MATCH(E449,'学校信息'!$A$4:$A$53,0)),"")</x:f>
      </x:c>
      <x:c r="H449" s="70"/>
      <x:c r="I449" s="70"/>
      <x:c r="J449" s="70"/>
      <x:c r="K449" s="28"/>
      <x:c r="L449" s="28"/>
      <x:c r="M449" s="60" t="str">
        <x:f>IF(COUNTA(A449:E449)+COUNTA(H449:L449)=0,"",IF(OR(A449="",B449="",C449="",D449="",E449="",H449="",I449="",J449="",K449="",L449=""),"缺少必填项",IF(OR(LEN(I449)&lt;&gt;64,LEN(J449)&lt;&gt;64),"SHA701长度应为64",IF(COUNTIF('学校信息'!$A$4:$A$53,E449)=0,"学校ID不存在",IF(COUNTIFS($E$4:$E$503,E449,$A$4:$A$503,A449)&gt;1,"同校全局题目ID重复",IF(COUNTIFS($E$4:$E$503,E449,$H$4:$H$503,H449)&gt;1,"同校本地PID重复",IF(OR(COUNTIFS($A$4:$A$503,A449,$B$4:$B$503,"&lt;&gt;"&amp;B449)&gt;0,COUNTIFS($A$4:$A$503,A449,$C$4:$C$503,"&lt;&gt;"&amp;C449)&gt;0,COUNTIFS($A$4:$A$503,A449,$D$4:$D$503,"&lt;&gt;"&amp;D449)&gt;0,COUNTIFS($A$4:$A$503,A449,$I$4:$I$503,"&lt;&gt;"&amp;I449)&gt;0,COUNTIFS($A$4:$A$503,A449,$J$4:$J$503,"&lt;&gt;"&amp;J449)&gt;0,COUNTIFS($A$4:$A$503,A449,$K$4:$K$503,"&lt;&gt;"&amp;K449)&gt;0,COUNTIFS($A$4:$A$503,A449,$L$4:$L$503,"&lt;&gt;"&amp;L449)&gt;0),"跨校题目配置不一致","通过")))))))</x:f>
      </x:c>
    </x:row>
    <x:row r="450" ht="22" customHeight="1">
      <x:c r="A450" s="70"/>
      <x:c r="B450" s="70"/>
      <x:c r="C450" s="28"/>
      <x:c r="D450" s="28"/>
      <x:c r="E450" s="70"/>
      <x:c r="F450" s="71" t="str">
        <x:f>IFERROR(INDEX('学校信息'!$F$4:$F$53,MATCH(E450,'学校信息'!$A$4:$A$53,0)),"")</x:f>
      </x:c>
      <x:c r="G450" s="71" t="str">
        <x:f>IFERROR(INDEX('学校信息'!$G$4:$G$53,MATCH(E450,'学校信息'!$A$4:$A$53,0)),"")</x:f>
      </x:c>
      <x:c r="H450" s="70"/>
      <x:c r="I450" s="70"/>
      <x:c r="J450" s="70"/>
      <x:c r="K450" s="28"/>
      <x:c r="L450" s="28"/>
      <x:c r="M450" s="60" t="str">
        <x:f>IF(COUNTA(A450:E450)+COUNTA(H450:L450)=0,"",IF(OR(A450="",B450="",C450="",D450="",E450="",H450="",I450="",J450="",K450="",L450=""),"缺少必填项",IF(OR(LEN(I450)&lt;&gt;64,LEN(J450)&lt;&gt;64),"SHA702长度应为64",IF(COUNTIF('学校信息'!$A$4:$A$53,E450)=0,"学校ID不存在",IF(COUNTIFS($E$4:$E$503,E450,$A$4:$A$503,A450)&gt;1,"同校全局题目ID重复",IF(COUNTIFS($E$4:$E$503,E450,$H$4:$H$503,H450)&gt;1,"同校本地PID重复",IF(OR(COUNTIFS($A$4:$A$503,A450,$B$4:$B$503,"&lt;&gt;"&amp;B450)&gt;0,COUNTIFS($A$4:$A$503,A450,$C$4:$C$503,"&lt;&gt;"&amp;C450)&gt;0,COUNTIFS($A$4:$A$503,A450,$D$4:$D$503,"&lt;&gt;"&amp;D450)&gt;0,COUNTIFS($A$4:$A$503,A450,$I$4:$I$503,"&lt;&gt;"&amp;I450)&gt;0,COUNTIFS($A$4:$A$503,A450,$J$4:$J$503,"&lt;&gt;"&amp;J450)&gt;0,COUNTIFS($A$4:$A$503,A450,$K$4:$K$503,"&lt;&gt;"&amp;K450)&gt;0,COUNTIFS($A$4:$A$503,A450,$L$4:$L$503,"&lt;&gt;"&amp;L450)&gt;0),"跨校题目配置不一致","通过")))))))</x:f>
      </x:c>
    </x:row>
    <x:row r="451" ht="22" customHeight="1">
      <x:c r="A451" s="70"/>
      <x:c r="B451" s="70"/>
      <x:c r="C451" s="28"/>
      <x:c r="D451" s="28"/>
      <x:c r="E451" s="70"/>
      <x:c r="F451" s="71" t="str">
        <x:f>IFERROR(INDEX('学校信息'!$F$4:$F$53,MATCH(E451,'学校信息'!$A$4:$A$53,0)),"")</x:f>
      </x:c>
      <x:c r="G451" s="71" t="str">
        <x:f>IFERROR(INDEX('学校信息'!$G$4:$G$53,MATCH(E451,'学校信息'!$A$4:$A$53,0)),"")</x:f>
      </x:c>
      <x:c r="H451" s="70"/>
      <x:c r="I451" s="70"/>
      <x:c r="J451" s="70"/>
      <x:c r="K451" s="28"/>
      <x:c r="L451" s="28"/>
      <x:c r="M451" s="60" t="str">
        <x:f>IF(COUNTA(A451:E451)+COUNTA(H451:L451)=0,"",IF(OR(A451="",B451="",C451="",D451="",E451="",H451="",I451="",J451="",K451="",L451=""),"缺少必填项",IF(OR(LEN(I451)&lt;&gt;64,LEN(J451)&lt;&gt;64),"SHA703长度应为64",IF(COUNTIF('学校信息'!$A$4:$A$53,E451)=0,"学校ID不存在",IF(COUNTIFS($E$4:$E$503,E451,$A$4:$A$503,A451)&gt;1,"同校全局题目ID重复",IF(COUNTIFS($E$4:$E$503,E451,$H$4:$H$503,H451)&gt;1,"同校本地PID重复",IF(OR(COUNTIFS($A$4:$A$503,A451,$B$4:$B$503,"&lt;&gt;"&amp;B451)&gt;0,COUNTIFS($A$4:$A$503,A451,$C$4:$C$503,"&lt;&gt;"&amp;C451)&gt;0,COUNTIFS($A$4:$A$503,A451,$D$4:$D$503,"&lt;&gt;"&amp;D451)&gt;0,COUNTIFS($A$4:$A$503,A451,$I$4:$I$503,"&lt;&gt;"&amp;I451)&gt;0,COUNTIFS($A$4:$A$503,A451,$J$4:$J$503,"&lt;&gt;"&amp;J451)&gt;0,COUNTIFS($A$4:$A$503,A451,$K$4:$K$503,"&lt;&gt;"&amp;K451)&gt;0,COUNTIFS($A$4:$A$503,A451,$L$4:$L$503,"&lt;&gt;"&amp;L451)&gt;0),"跨校题目配置不一致","通过")))))))</x:f>
      </x:c>
    </x:row>
    <x:row r="452" ht="22" customHeight="1">
      <x:c r="A452" s="70"/>
      <x:c r="B452" s="70"/>
      <x:c r="C452" s="28"/>
      <x:c r="D452" s="28"/>
      <x:c r="E452" s="70"/>
      <x:c r="F452" s="71" t="str">
        <x:f>IFERROR(INDEX('学校信息'!$F$4:$F$53,MATCH(E452,'学校信息'!$A$4:$A$53,0)),"")</x:f>
      </x:c>
      <x:c r="G452" s="71" t="str">
        <x:f>IFERROR(INDEX('学校信息'!$G$4:$G$53,MATCH(E452,'学校信息'!$A$4:$A$53,0)),"")</x:f>
      </x:c>
      <x:c r="H452" s="70"/>
      <x:c r="I452" s="70"/>
      <x:c r="J452" s="70"/>
      <x:c r="K452" s="28"/>
      <x:c r="L452" s="28"/>
      <x:c r="M452" s="60" t="str">
        <x:f>IF(COUNTA(A452:E452)+COUNTA(H452:L452)=0,"",IF(OR(A452="",B452="",C452="",D452="",E452="",H452="",I452="",J452="",K452="",L452=""),"缺少必填项",IF(OR(LEN(I452)&lt;&gt;64,LEN(J452)&lt;&gt;64),"SHA704长度应为64",IF(COUNTIF('学校信息'!$A$4:$A$53,E452)=0,"学校ID不存在",IF(COUNTIFS($E$4:$E$503,E452,$A$4:$A$503,A452)&gt;1,"同校全局题目ID重复",IF(COUNTIFS($E$4:$E$503,E452,$H$4:$H$503,H452)&gt;1,"同校本地PID重复",IF(OR(COUNTIFS($A$4:$A$503,A452,$B$4:$B$503,"&lt;&gt;"&amp;B452)&gt;0,COUNTIFS($A$4:$A$503,A452,$C$4:$C$503,"&lt;&gt;"&amp;C452)&gt;0,COUNTIFS($A$4:$A$503,A452,$D$4:$D$503,"&lt;&gt;"&amp;D452)&gt;0,COUNTIFS($A$4:$A$503,A452,$I$4:$I$503,"&lt;&gt;"&amp;I452)&gt;0,COUNTIFS($A$4:$A$503,A452,$J$4:$J$503,"&lt;&gt;"&amp;J452)&gt;0,COUNTIFS($A$4:$A$503,A452,$K$4:$K$503,"&lt;&gt;"&amp;K452)&gt;0,COUNTIFS($A$4:$A$503,A452,$L$4:$L$503,"&lt;&gt;"&amp;L452)&gt;0),"跨校题目配置不一致","通过")))))))</x:f>
      </x:c>
    </x:row>
    <x:row r="453" ht="22" customHeight="1">
      <x:c r="A453" s="70"/>
      <x:c r="B453" s="70"/>
      <x:c r="C453" s="28"/>
      <x:c r="D453" s="28"/>
      <x:c r="E453" s="70"/>
      <x:c r="F453" s="71" t="str">
        <x:f>IFERROR(INDEX('学校信息'!$F$4:$F$53,MATCH(E453,'学校信息'!$A$4:$A$53,0)),"")</x:f>
      </x:c>
      <x:c r="G453" s="71" t="str">
        <x:f>IFERROR(INDEX('学校信息'!$G$4:$G$53,MATCH(E453,'学校信息'!$A$4:$A$53,0)),"")</x:f>
      </x:c>
      <x:c r="H453" s="70"/>
      <x:c r="I453" s="70"/>
      <x:c r="J453" s="70"/>
      <x:c r="K453" s="28"/>
      <x:c r="L453" s="28"/>
      <x:c r="M453" s="60" t="str">
        <x:f>IF(COUNTA(A453:E453)+COUNTA(H453:L453)=0,"",IF(OR(A453="",B453="",C453="",D453="",E453="",H453="",I453="",J453="",K453="",L453=""),"缺少必填项",IF(OR(LEN(I453)&lt;&gt;64,LEN(J453)&lt;&gt;64),"SHA705长度应为64",IF(COUNTIF('学校信息'!$A$4:$A$53,E453)=0,"学校ID不存在",IF(COUNTIFS($E$4:$E$503,E453,$A$4:$A$503,A453)&gt;1,"同校全局题目ID重复",IF(COUNTIFS($E$4:$E$503,E453,$H$4:$H$503,H453)&gt;1,"同校本地PID重复",IF(OR(COUNTIFS($A$4:$A$503,A453,$B$4:$B$503,"&lt;&gt;"&amp;B453)&gt;0,COUNTIFS($A$4:$A$503,A453,$C$4:$C$503,"&lt;&gt;"&amp;C453)&gt;0,COUNTIFS($A$4:$A$503,A453,$D$4:$D$503,"&lt;&gt;"&amp;D453)&gt;0,COUNTIFS($A$4:$A$503,A453,$I$4:$I$503,"&lt;&gt;"&amp;I453)&gt;0,COUNTIFS($A$4:$A$503,A453,$J$4:$J$503,"&lt;&gt;"&amp;J453)&gt;0,COUNTIFS($A$4:$A$503,A453,$K$4:$K$503,"&lt;&gt;"&amp;K453)&gt;0,COUNTIFS($A$4:$A$503,A453,$L$4:$L$503,"&lt;&gt;"&amp;L453)&gt;0),"跨校题目配置不一致","通过")))))))</x:f>
      </x:c>
    </x:row>
    <x:row r="454" ht="22" customHeight="1">
      <x:c r="A454" s="70"/>
      <x:c r="B454" s="70"/>
      <x:c r="C454" s="28"/>
      <x:c r="D454" s="28"/>
      <x:c r="E454" s="70"/>
      <x:c r="F454" s="71" t="str">
        <x:f>IFERROR(INDEX('学校信息'!$F$4:$F$53,MATCH(E454,'学校信息'!$A$4:$A$53,0)),"")</x:f>
      </x:c>
      <x:c r="G454" s="71" t="str">
        <x:f>IFERROR(INDEX('学校信息'!$G$4:$G$53,MATCH(E454,'学校信息'!$A$4:$A$53,0)),"")</x:f>
      </x:c>
      <x:c r="H454" s="70"/>
      <x:c r="I454" s="70"/>
      <x:c r="J454" s="70"/>
      <x:c r="K454" s="28"/>
      <x:c r="L454" s="28"/>
      <x:c r="M454" s="60" t="str">
        <x:f>IF(COUNTA(A454:E454)+COUNTA(H454:L454)=0,"",IF(OR(A454="",B454="",C454="",D454="",E454="",H454="",I454="",J454="",K454="",L454=""),"缺少必填项",IF(OR(LEN(I454)&lt;&gt;64,LEN(J454)&lt;&gt;64),"SHA706长度应为64",IF(COUNTIF('学校信息'!$A$4:$A$53,E454)=0,"学校ID不存在",IF(COUNTIFS($E$4:$E$503,E454,$A$4:$A$503,A454)&gt;1,"同校全局题目ID重复",IF(COUNTIFS($E$4:$E$503,E454,$H$4:$H$503,H454)&gt;1,"同校本地PID重复",IF(OR(COUNTIFS($A$4:$A$503,A454,$B$4:$B$503,"&lt;&gt;"&amp;B454)&gt;0,COUNTIFS($A$4:$A$503,A454,$C$4:$C$503,"&lt;&gt;"&amp;C454)&gt;0,COUNTIFS($A$4:$A$503,A454,$D$4:$D$503,"&lt;&gt;"&amp;D454)&gt;0,COUNTIFS($A$4:$A$503,A454,$I$4:$I$503,"&lt;&gt;"&amp;I454)&gt;0,COUNTIFS($A$4:$A$503,A454,$J$4:$J$503,"&lt;&gt;"&amp;J454)&gt;0,COUNTIFS($A$4:$A$503,A454,$K$4:$K$503,"&lt;&gt;"&amp;K454)&gt;0,COUNTIFS($A$4:$A$503,A454,$L$4:$L$503,"&lt;&gt;"&amp;L454)&gt;0),"跨校题目配置不一致","通过")))))))</x:f>
      </x:c>
    </x:row>
    <x:row r="455" ht="22" customHeight="1">
      <x:c r="A455" s="70"/>
      <x:c r="B455" s="70"/>
      <x:c r="C455" s="28"/>
      <x:c r="D455" s="28"/>
      <x:c r="E455" s="70"/>
      <x:c r="F455" s="71" t="str">
        <x:f>IFERROR(INDEX('学校信息'!$F$4:$F$53,MATCH(E455,'学校信息'!$A$4:$A$53,0)),"")</x:f>
      </x:c>
      <x:c r="G455" s="71" t="str">
        <x:f>IFERROR(INDEX('学校信息'!$G$4:$G$53,MATCH(E455,'学校信息'!$A$4:$A$53,0)),"")</x:f>
      </x:c>
      <x:c r="H455" s="70"/>
      <x:c r="I455" s="70"/>
      <x:c r="J455" s="70"/>
      <x:c r="K455" s="28"/>
      <x:c r="L455" s="28"/>
      <x:c r="M455" s="60" t="str">
        <x:f>IF(COUNTA(A455:E455)+COUNTA(H455:L455)=0,"",IF(OR(A455="",B455="",C455="",D455="",E455="",H455="",I455="",J455="",K455="",L455=""),"缺少必填项",IF(OR(LEN(I455)&lt;&gt;64,LEN(J455)&lt;&gt;64),"SHA707长度应为64",IF(COUNTIF('学校信息'!$A$4:$A$53,E455)=0,"学校ID不存在",IF(COUNTIFS($E$4:$E$503,E455,$A$4:$A$503,A455)&gt;1,"同校全局题目ID重复",IF(COUNTIFS($E$4:$E$503,E455,$H$4:$H$503,H455)&gt;1,"同校本地PID重复",IF(OR(COUNTIFS($A$4:$A$503,A455,$B$4:$B$503,"&lt;&gt;"&amp;B455)&gt;0,COUNTIFS($A$4:$A$503,A455,$C$4:$C$503,"&lt;&gt;"&amp;C455)&gt;0,COUNTIFS($A$4:$A$503,A455,$D$4:$D$503,"&lt;&gt;"&amp;D455)&gt;0,COUNTIFS($A$4:$A$503,A455,$I$4:$I$503,"&lt;&gt;"&amp;I455)&gt;0,COUNTIFS($A$4:$A$503,A455,$J$4:$J$503,"&lt;&gt;"&amp;J455)&gt;0,COUNTIFS($A$4:$A$503,A455,$K$4:$K$503,"&lt;&gt;"&amp;K455)&gt;0,COUNTIFS($A$4:$A$503,A455,$L$4:$L$503,"&lt;&gt;"&amp;L455)&gt;0),"跨校题目配置不一致","通过")))))))</x:f>
      </x:c>
    </x:row>
    <x:row r="456" ht="22" customHeight="1">
      <x:c r="A456" s="70"/>
      <x:c r="B456" s="70"/>
      <x:c r="C456" s="28"/>
      <x:c r="D456" s="28"/>
      <x:c r="E456" s="70"/>
      <x:c r="F456" s="71" t="str">
        <x:f>IFERROR(INDEX('学校信息'!$F$4:$F$53,MATCH(E456,'学校信息'!$A$4:$A$53,0)),"")</x:f>
      </x:c>
      <x:c r="G456" s="71" t="str">
        <x:f>IFERROR(INDEX('学校信息'!$G$4:$G$53,MATCH(E456,'学校信息'!$A$4:$A$53,0)),"")</x:f>
      </x:c>
      <x:c r="H456" s="70"/>
      <x:c r="I456" s="70"/>
      <x:c r="J456" s="70"/>
      <x:c r="K456" s="28"/>
      <x:c r="L456" s="28"/>
      <x:c r="M456" s="60" t="str">
        <x:f>IF(COUNTA(A456:E456)+COUNTA(H456:L456)=0,"",IF(OR(A456="",B456="",C456="",D456="",E456="",H456="",I456="",J456="",K456="",L456=""),"缺少必填项",IF(OR(LEN(I456)&lt;&gt;64,LEN(J456)&lt;&gt;64),"SHA708长度应为64",IF(COUNTIF('学校信息'!$A$4:$A$53,E456)=0,"学校ID不存在",IF(COUNTIFS($E$4:$E$503,E456,$A$4:$A$503,A456)&gt;1,"同校全局题目ID重复",IF(COUNTIFS($E$4:$E$503,E456,$H$4:$H$503,H456)&gt;1,"同校本地PID重复",IF(OR(COUNTIFS($A$4:$A$503,A456,$B$4:$B$503,"&lt;&gt;"&amp;B456)&gt;0,COUNTIFS($A$4:$A$503,A456,$C$4:$C$503,"&lt;&gt;"&amp;C456)&gt;0,COUNTIFS($A$4:$A$503,A456,$D$4:$D$503,"&lt;&gt;"&amp;D456)&gt;0,COUNTIFS($A$4:$A$503,A456,$I$4:$I$503,"&lt;&gt;"&amp;I456)&gt;0,COUNTIFS($A$4:$A$503,A456,$J$4:$J$503,"&lt;&gt;"&amp;J456)&gt;0,COUNTIFS($A$4:$A$503,A456,$K$4:$K$503,"&lt;&gt;"&amp;K456)&gt;0,COUNTIFS($A$4:$A$503,A456,$L$4:$L$503,"&lt;&gt;"&amp;L456)&gt;0),"跨校题目配置不一致","通过")))))))</x:f>
      </x:c>
    </x:row>
    <x:row r="457" ht="22" customHeight="1">
      <x:c r="A457" s="70"/>
      <x:c r="B457" s="70"/>
      <x:c r="C457" s="28"/>
      <x:c r="D457" s="28"/>
      <x:c r="E457" s="70"/>
      <x:c r="F457" s="71" t="str">
        <x:f>IFERROR(INDEX('学校信息'!$F$4:$F$53,MATCH(E457,'学校信息'!$A$4:$A$53,0)),"")</x:f>
      </x:c>
      <x:c r="G457" s="71" t="str">
        <x:f>IFERROR(INDEX('学校信息'!$G$4:$G$53,MATCH(E457,'学校信息'!$A$4:$A$53,0)),"")</x:f>
      </x:c>
      <x:c r="H457" s="70"/>
      <x:c r="I457" s="70"/>
      <x:c r="J457" s="70"/>
      <x:c r="K457" s="28"/>
      <x:c r="L457" s="28"/>
      <x:c r="M457" s="60" t="str">
        <x:f>IF(COUNTA(A457:E457)+COUNTA(H457:L457)=0,"",IF(OR(A457="",B457="",C457="",D457="",E457="",H457="",I457="",J457="",K457="",L457=""),"缺少必填项",IF(OR(LEN(I457)&lt;&gt;64,LEN(J457)&lt;&gt;64),"SHA709长度应为64",IF(COUNTIF('学校信息'!$A$4:$A$53,E457)=0,"学校ID不存在",IF(COUNTIFS($E$4:$E$503,E457,$A$4:$A$503,A457)&gt;1,"同校全局题目ID重复",IF(COUNTIFS($E$4:$E$503,E457,$H$4:$H$503,H457)&gt;1,"同校本地PID重复",IF(OR(COUNTIFS($A$4:$A$503,A457,$B$4:$B$503,"&lt;&gt;"&amp;B457)&gt;0,COUNTIFS($A$4:$A$503,A457,$C$4:$C$503,"&lt;&gt;"&amp;C457)&gt;0,COUNTIFS($A$4:$A$503,A457,$D$4:$D$503,"&lt;&gt;"&amp;D457)&gt;0,COUNTIFS($A$4:$A$503,A457,$I$4:$I$503,"&lt;&gt;"&amp;I457)&gt;0,COUNTIFS($A$4:$A$503,A457,$J$4:$J$503,"&lt;&gt;"&amp;J457)&gt;0,COUNTIFS($A$4:$A$503,A457,$K$4:$K$503,"&lt;&gt;"&amp;K457)&gt;0,COUNTIFS($A$4:$A$503,A457,$L$4:$L$503,"&lt;&gt;"&amp;L457)&gt;0),"跨校题目配置不一致","通过")))))))</x:f>
      </x:c>
    </x:row>
    <x:row r="458" ht="22" customHeight="1">
      <x:c r="A458" s="70"/>
      <x:c r="B458" s="70"/>
      <x:c r="C458" s="28"/>
      <x:c r="D458" s="28"/>
      <x:c r="E458" s="70"/>
      <x:c r="F458" s="71" t="str">
        <x:f>IFERROR(INDEX('学校信息'!$F$4:$F$53,MATCH(E458,'学校信息'!$A$4:$A$53,0)),"")</x:f>
      </x:c>
      <x:c r="G458" s="71" t="str">
        <x:f>IFERROR(INDEX('学校信息'!$G$4:$G$53,MATCH(E458,'学校信息'!$A$4:$A$53,0)),"")</x:f>
      </x:c>
      <x:c r="H458" s="70"/>
      <x:c r="I458" s="70"/>
      <x:c r="J458" s="70"/>
      <x:c r="K458" s="28"/>
      <x:c r="L458" s="28"/>
      <x:c r="M458" s="60" t="str">
        <x:f>IF(COUNTA(A458:E458)+COUNTA(H458:L458)=0,"",IF(OR(A458="",B458="",C458="",D458="",E458="",H458="",I458="",J458="",K458="",L458=""),"缺少必填项",IF(OR(LEN(I458)&lt;&gt;64,LEN(J458)&lt;&gt;64),"SHA710长度应为64",IF(COUNTIF('学校信息'!$A$4:$A$53,E458)=0,"学校ID不存在",IF(COUNTIFS($E$4:$E$503,E458,$A$4:$A$503,A458)&gt;1,"同校全局题目ID重复",IF(COUNTIFS($E$4:$E$503,E458,$H$4:$H$503,H458)&gt;1,"同校本地PID重复",IF(OR(COUNTIFS($A$4:$A$503,A458,$B$4:$B$503,"&lt;&gt;"&amp;B458)&gt;0,COUNTIFS($A$4:$A$503,A458,$C$4:$C$503,"&lt;&gt;"&amp;C458)&gt;0,COUNTIFS($A$4:$A$503,A458,$D$4:$D$503,"&lt;&gt;"&amp;D458)&gt;0,COUNTIFS($A$4:$A$503,A458,$I$4:$I$503,"&lt;&gt;"&amp;I458)&gt;0,COUNTIFS($A$4:$A$503,A458,$J$4:$J$503,"&lt;&gt;"&amp;J458)&gt;0,COUNTIFS($A$4:$A$503,A458,$K$4:$K$503,"&lt;&gt;"&amp;K458)&gt;0,COUNTIFS($A$4:$A$503,A458,$L$4:$L$503,"&lt;&gt;"&amp;L458)&gt;0),"跨校题目配置不一致","通过")))))))</x:f>
      </x:c>
    </x:row>
    <x:row r="459" ht="22" customHeight="1">
      <x:c r="A459" s="70"/>
      <x:c r="B459" s="70"/>
      <x:c r="C459" s="28"/>
      <x:c r="D459" s="28"/>
      <x:c r="E459" s="70"/>
      <x:c r="F459" s="71" t="str">
        <x:f>IFERROR(INDEX('学校信息'!$F$4:$F$53,MATCH(E459,'学校信息'!$A$4:$A$53,0)),"")</x:f>
      </x:c>
      <x:c r="G459" s="71" t="str">
        <x:f>IFERROR(INDEX('学校信息'!$G$4:$G$53,MATCH(E459,'学校信息'!$A$4:$A$53,0)),"")</x:f>
      </x:c>
      <x:c r="H459" s="70"/>
      <x:c r="I459" s="70"/>
      <x:c r="J459" s="70"/>
      <x:c r="K459" s="28"/>
      <x:c r="L459" s="28"/>
      <x:c r="M459" s="60" t="str">
        <x:f>IF(COUNTA(A459:E459)+COUNTA(H459:L459)=0,"",IF(OR(A459="",B459="",C459="",D459="",E459="",H459="",I459="",J459="",K459="",L459=""),"缺少必填项",IF(OR(LEN(I459)&lt;&gt;64,LEN(J459)&lt;&gt;64),"SHA711长度应为64",IF(COUNTIF('学校信息'!$A$4:$A$53,E459)=0,"学校ID不存在",IF(COUNTIFS($E$4:$E$503,E459,$A$4:$A$503,A459)&gt;1,"同校全局题目ID重复",IF(COUNTIFS($E$4:$E$503,E459,$H$4:$H$503,H459)&gt;1,"同校本地PID重复",IF(OR(COUNTIFS($A$4:$A$503,A459,$B$4:$B$503,"&lt;&gt;"&amp;B459)&gt;0,COUNTIFS($A$4:$A$503,A459,$C$4:$C$503,"&lt;&gt;"&amp;C459)&gt;0,COUNTIFS($A$4:$A$503,A459,$D$4:$D$503,"&lt;&gt;"&amp;D459)&gt;0,COUNTIFS($A$4:$A$503,A459,$I$4:$I$503,"&lt;&gt;"&amp;I459)&gt;0,COUNTIFS($A$4:$A$503,A459,$J$4:$J$503,"&lt;&gt;"&amp;J459)&gt;0,COUNTIFS($A$4:$A$503,A459,$K$4:$K$503,"&lt;&gt;"&amp;K459)&gt;0,COUNTIFS($A$4:$A$503,A459,$L$4:$L$503,"&lt;&gt;"&amp;L459)&gt;0),"跨校题目配置不一致","通过")))))))</x:f>
      </x:c>
    </x:row>
    <x:row r="460" ht="22" customHeight="1">
      <x:c r="A460" s="70"/>
      <x:c r="B460" s="70"/>
      <x:c r="C460" s="28"/>
      <x:c r="D460" s="28"/>
      <x:c r="E460" s="70"/>
      <x:c r="F460" s="71" t="str">
        <x:f>IFERROR(INDEX('学校信息'!$F$4:$F$53,MATCH(E460,'学校信息'!$A$4:$A$53,0)),"")</x:f>
      </x:c>
      <x:c r="G460" s="71" t="str">
        <x:f>IFERROR(INDEX('学校信息'!$G$4:$G$53,MATCH(E460,'学校信息'!$A$4:$A$53,0)),"")</x:f>
      </x:c>
      <x:c r="H460" s="70"/>
      <x:c r="I460" s="70"/>
      <x:c r="J460" s="70"/>
      <x:c r="K460" s="28"/>
      <x:c r="L460" s="28"/>
      <x:c r="M460" s="60" t="str">
        <x:f>IF(COUNTA(A460:E460)+COUNTA(H460:L460)=0,"",IF(OR(A460="",B460="",C460="",D460="",E460="",H460="",I460="",J460="",K460="",L460=""),"缺少必填项",IF(OR(LEN(I460)&lt;&gt;64,LEN(J460)&lt;&gt;64),"SHA712长度应为64",IF(COUNTIF('学校信息'!$A$4:$A$53,E460)=0,"学校ID不存在",IF(COUNTIFS($E$4:$E$503,E460,$A$4:$A$503,A460)&gt;1,"同校全局题目ID重复",IF(COUNTIFS($E$4:$E$503,E460,$H$4:$H$503,H460)&gt;1,"同校本地PID重复",IF(OR(COUNTIFS($A$4:$A$503,A460,$B$4:$B$503,"&lt;&gt;"&amp;B460)&gt;0,COUNTIFS($A$4:$A$503,A460,$C$4:$C$503,"&lt;&gt;"&amp;C460)&gt;0,COUNTIFS($A$4:$A$503,A460,$D$4:$D$503,"&lt;&gt;"&amp;D460)&gt;0,COUNTIFS($A$4:$A$503,A460,$I$4:$I$503,"&lt;&gt;"&amp;I460)&gt;0,COUNTIFS($A$4:$A$503,A460,$J$4:$J$503,"&lt;&gt;"&amp;J460)&gt;0,COUNTIFS($A$4:$A$503,A460,$K$4:$K$503,"&lt;&gt;"&amp;K460)&gt;0,COUNTIFS($A$4:$A$503,A460,$L$4:$L$503,"&lt;&gt;"&amp;L460)&gt;0),"跨校题目配置不一致","通过")))))))</x:f>
      </x:c>
    </x:row>
    <x:row r="461" ht="22" customHeight="1">
      <x:c r="A461" s="70"/>
      <x:c r="B461" s="70"/>
      <x:c r="C461" s="28"/>
      <x:c r="D461" s="28"/>
      <x:c r="E461" s="70"/>
      <x:c r="F461" s="71" t="str">
        <x:f>IFERROR(INDEX('学校信息'!$F$4:$F$53,MATCH(E461,'学校信息'!$A$4:$A$53,0)),"")</x:f>
      </x:c>
      <x:c r="G461" s="71" t="str">
        <x:f>IFERROR(INDEX('学校信息'!$G$4:$G$53,MATCH(E461,'学校信息'!$A$4:$A$53,0)),"")</x:f>
      </x:c>
      <x:c r="H461" s="70"/>
      <x:c r="I461" s="70"/>
      <x:c r="J461" s="70"/>
      <x:c r="K461" s="28"/>
      <x:c r="L461" s="28"/>
      <x:c r="M461" s="60" t="str">
        <x:f>IF(COUNTA(A461:E461)+COUNTA(H461:L461)=0,"",IF(OR(A461="",B461="",C461="",D461="",E461="",H461="",I461="",J461="",K461="",L461=""),"缺少必填项",IF(OR(LEN(I461)&lt;&gt;64,LEN(J461)&lt;&gt;64),"SHA713长度应为64",IF(COUNTIF('学校信息'!$A$4:$A$53,E461)=0,"学校ID不存在",IF(COUNTIFS($E$4:$E$503,E461,$A$4:$A$503,A461)&gt;1,"同校全局题目ID重复",IF(COUNTIFS($E$4:$E$503,E461,$H$4:$H$503,H461)&gt;1,"同校本地PID重复",IF(OR(COUNTIFS($A$4:$A$503,A461,$B$4:$B$503,"&lt;&gt;"&amp;B461)&gt;0,COUNTIFS($A$4:$A$503,A461,$C$4:$C$503,"&lt;&gt;"&amp;C461)&gt;0,COUNTIFS($A$4:$A$503,A461,$D$4:$D$503,"&lt;&gt;"&amp;D461)&gt;0,COUNTIFS($A$4:$A$503,A461,$I$4:$I$503,"&lt;&gt;"&amp;I461)&gt;0,COUNTIFS($A$4:$A$503,A461,$J$4:$J$503,"&lt;&gt;"&amp;J461)&gt;0,COUNTIFS($A$4:$A$503,A461,$K$4:$K$503,"&lt;&gt;"&amp;K461)&gt;0,COUNTIFS($A$4:$A$503,A461,$L$4:$L$503,"&lt;&gt;"&amp;L461)&gt;0),"跨校题目配置不一致","通过")))))))</x:f>
      </x:c>
    </x:row>
    <x:row r="462" ht="22" customHeight="1">
      <x:c r="A462" s="70"/>
      <x:c r="B462" s="70"/>
      <x:c r="C462" s="28"/>
      <x:c r="D462" s="28"/>
      <x:c r="E462" s="70"/>
      <x:c r="F462" s="71" t="str">
        <x:f>IFERROR(INDEX('学校信息'!$F$4:$F$53,MATCH(E462,'学校信息'!$A$4:$A$53,0)),"")</x:f>
      </x:c>
      <x:c r="G462" s="71" t="str">
        <x:f>IFERROR(INDEX('学校信息'!$G$4:$G$53,MATCH(E462,'学校信息'!$A$4:$A$53,0)),"")</x:f>
      </x:c>
      <x:c r="H462" s="70"/>
      <x:c r="I462" s="70"/>
      <x:c r="J462" s="70"/>
      <x:c r="K462" s="28"/>
      <x:c r="L462" s="28"/>
      <x:c r="M462" s="60" t="str">
        <x:f>IF(COUNTA(A462:E462)+COUNTA(H462:L462)=0,"",IF(OR(A462="",B462="",C462="",D462="",E462="",H462="",I462="",J462="",K462="",L462=""),"缺少必填项",IF(OR(LEN(I462)&lt;&gt;64,LEN(J462)&lt;&gt;64),"SHA714长度应为64",IF(COUNTIF('学校信息'!$A$4:$A$53,E462)=0,"学校ID不存在",IF(COUNTIFS($E$4:$E$503,E462,$A$4:$A$503,A462)&gt;1,"同校全局题目ID重复",IF(COUNTIFS($E$4:$E$503,E462,$H$4:$H$503,H462)&gt;1,"同校本地PID重复",IF(OR(COUNTIFS($A$4:$A$503,A462,$B$4:$B$503,"&lt;&gt;"&amp;B462)&gt;0,COUNTIFS($A$4:$A$503,A462,$C$4:$C$503,"&lt;&gt;"&amp;C462)&gt;0,COUNTIFS($A$4:$A$503,A462,$D$4:$D$503,"&lt;&gt;"&amp;D462)&gt;0,COUNTIFS($A$4:$A$503,A462,$I$4:$I$503,"&lt;&gt;"&amp;I462)&gt;0,COUNTIFS($A$4:$A$503,A462,$J$4:$J$503,"&lt;&gt;"&amp;J462)&gt;0,COUNTIFS($A$4:$A$503,A462,$K$4:$K$503,"&lt;&gt;"&amp;K462)&gt;0,COUNTIFS($A$4:$A$503,A462,$L$4:$L$503,"&lt;&gt;"&amp;L462)&gt;0),"跨校题目配置不一致","通过")))))))</x:f>
      </x:c>
    </x:row>
    <x:row r="463" ht="22" customHeight="1">
      <x:c r="A463" s="70"/>
      <x:c r="B463" s="70"/>
      <x:c r="C463" s="28"/>
      <x:c r="D463" s="28"/>
      <x:c r="E463" s="70"/>
      <x:c r="F463" s="71" t="str">
        <x:f>IFERROR(INDEX('学校信息'!$F$4:$F$53,MATCH(E463,'学校信息'!$A$4:$A$53,0)),"")</x:f>
      </x:c>
      <x:c r="G463" s="71" t="str">
        <x:f>IFERROR(INDEX('学校信息'!$G$4:$G$53,MATCH(E463,'学校信息'!$A$4:$A$53,0)),"")</x:f>
      </x:c>
      <x:c r="H463" s="70"/>
      <x:c r="I463" s="70"/>
      <x:c r="J463" s="70"/>
      <x:c r="K463" s="28"/>
      <x:c r="L463" s="28"/>
      <x:c r="M463" s="60" t="str">
        <x:f>IF(COUNTA(A463:E463)+COUNTA(H463:L463)=0,"",IF(OR(A463="",B463="",C463="",D463="",E463="",H463="",I463="",J463="",K463="",L463=""),"缺少必填项",IF(OR(LEN(I463)&lt;&gt;64,LEN(J463)&lt;&gt;64),"SHA715长度应为64",IF(COUNTIF('学校信息'!$A$4:$A$53,E463)=0,"学校ID不存在",IF(COUNTIFS($E$4:$E$503,E463,$A$4:$A$503,A463)&gt;1,"同校全局题目ID重复",IF(COUNTIFS($E$4:$E$503,E463,$H$4:$H$503,H463)&gt;1,"同校本地PID重复",IF(OR(COUNTIFS($A$4:$A$503,A463,$B$4:$B$503,"&lt;&gt;"&amp;B463)&gt;0,COUNTIFS($A$4:$A$503,A463,$C$4:$C$503,"&lt;&gt;"&amp;C463)&gt;0,COUNTIFS($A$4:$A$503,A463,$D$4:$D$503,"&lt;&gt;"&amp;D463)&gt;0,COUNTIFS($A$4:$A$503,A463,$I$4:$I$503,"&lt;&gt;"&amp;I463)&gt;0,COUNTIFS($A$4:$A$503,A463,$J$4:$J$503,"&lt;&gt;"&amp;J463)&gt;0,COUNTIFS($A$4:$A$503,A463,$K$4:$K$503,"&lt;&gt;"&amp;K463)&gt;0,COUNTIFS($A$4:$A$503,A463,$L$4:$L$503,"&lt;&gt;"&amp;L463)&gt;0),"跨校题目配置不一致","通过")))))))</x:f>
      </x:c>
    </x:row>
    <x:row r="464" ht="22" customHeight="1">
      <x:c r="A464" s="70"/>
      <x:c r="B464" s="70"/>
      <x:c r="C464" s="28"/>
      <x:c r="D464" s="28"/>
      <x:c r="E464" s="70"/>
      <x:c r="F464" s="71" t="str">
        <x:f>IFERROR(INDEX('学校信息'!$F$4:$F$53,MATCH(E464,'学校信息'!$A$4:$A$53,0)),"")</x:f>
      </x:c>
      <x:c r="G464" s="71" t="str">
        <x:f>IFERROR(INDEX('学校信息'!$G$4:$G$53,MATCH(E464,'学校信息'!$A$4:$A$53,0)),"")</x:f>
      </x:c>
      <x:c r="H464" s="70"/>
      <x:c r="I464" s="70"/>
      <x:c r="J464" s="70"/>
      <x:c r="K464" s="28"/>
      <x:c r="L464" s="28"/>
      <x:c r="M464" s="60" t="str">
        <x:f>IF(COUNTA(A464:E464)+COUNTA(H464:L464)=0,"",IF(OR(A464="",B464="",C464="",D464="",E464="",H464="",I464="",J464="",K464="",L464=""),"缺少必填项",IF(OR(LEN(I464)&lt;&gt;64,LEN(J464)&lt;&gt;64),"SHA716长度应为64",IF(COUNTIF('学校信息'!$A$4:$A$53,E464)=0,"学校ID不存在",IF(COUNTIFS($E$4:$E$503,E464,$A$4:$A$503,A464)&gt;1,"同校全局题目ID重复",IF(COUNTIFS($E$4:$E$503,E464,$H$4:$H$503,H464)&gt;1,"同校本地PID重复",IF(OR(COUNTIFS($A$4:$A$503,A464,$B$4:$B$503,"&lt;&gt;"&amp;B464)&gt;0,COUNTIFS($A$4:$A$503,A464,$C$4:$C$503,"&lt;&gt;"&amp;C464)&gt;0,COUNTIFS($A$4:$A$503,A464,$D$4:$D$503,"&lt;&gt;"&amp;D464)&gt;0,COUNTIFS($A$4:$A$503,A464,$I$4:$I$503,"&lt;&gt;"&amp;I464)&gt;0,COUNTIFS($A$4:$A$503,A464,$J$4:$J$503,"&lt;&gt;"&amp;J464)&gt;0,COUNTIFS($A$4:$A$503,A464,$K$4:$K$503,"&lt;&gt;"&amp;K464)&gt;0,COUNTIFS($A$4:$A$503,A464,$L$4:$L$503,"&lt;&gt;"&amp;L464)&gt;0),"跨校题目配置不一致","通过")))))))</x:f>
      </x:c>
    </x:row>
    <x:row r="465" ht="22" customHeight="1">
      <x:c r="A465" s="70"/>
      <x:c r="B465" s="70"/>
      <x:c r="C465" s="28"/>
      <x:c r="D465" s="28"/>
      <x:c r="E465" s="70"/>
      <x:c r="F465" s="71" t="str">
        <x:f>IFERROR(INDEX('学校信息'!$F$4:$F$53,MATCH(E465,'学校信息'!$A$4:$A$53,0)),"")</x:f>
      </x:c>
      <x:c r="G465" s="71" t="str">
        <x:f>IFERROR(INDEX('学校信息'!$G$4:$G$53,MATCH(E465,'学校信息'!$A$4:$A$53,0)),"")</x:f>
      </x:c>
      <x:c r="H465" s="70"/>
      <x:c r="I465" s="70"/>
      <x:c r="J465" s="70"/>
      <x:c r="K465" s="28"/>
      <x:c r="L465" s="28"/>
      <x:c r="M465" s="60" t="str">
        <x:f>IF(COUNTA(A465:E465)+COUNTA(H465:L465)=0,"",IF(OR(A465="",B465="",C465="",D465="",E465="",H465="",I465="",J465="",K465="",L465=""),"缺少必填项",IF(OR(LEN(I465)&lt;&gt;64,LEN(J465)&lt;&gt;64),"SHA717长度应为64",IF(COUNTIF('学校信息'!$A$4:$A$53,E465)=0,"学校ID不存在",IF(COUNTIFS($E$4:$E$503,E465,$A$4:$A$503,A465)&gt;1,"同校全局题目ID重复",IF(COUNTIFS($E$4:$E$503,E465,$H$4:$H$503,H465)&gt;1,"同校本地PID重复",IF(OR(COUNTIFS($A$4:$A$503,A465,$B$4:$B$503,"&lt;&gt;"&amp;B465)&gt;0,COUNTIFS($A$4:$A$503,A465,$C$4:$C$503,"&lt;&gt;"&amp;C465)&gt;0,COUNTIFS($A$4:$A$503,A465,$D$4:$D$503,"&lt;&gt;"&amp;D465)&gt;0,COUNTIFS($A$4:$A$503,A465,$I$4:$I$503,"&lt;&gt;"&amp;I465)&gt;0,COUNTIFS($A$4:$A$503,A465,$J$4:$J$503,"&lt;&gt;"&amp;J465)&gt;0,COUNTIFS($A$4:$A$503,A465,$K$4:$K$503,"&lt;&gt;"&amp;K465)&gt;0,COUNTIFS($A$4:$A$503,A465,$L$4:$L$503,"&lt;&gt;"&amp;L465)&gt;0),"跨校题目配置不一致","通过")))))))</x:f>
      </x:c>
    </x:row>
    <x:row r="466" ht="22" customHeight="1">
      <x:c r="A466" s="70"/>
      <x:c r="B466" s="70"/>
      <x:c r="C466" s="28"/>
      <x:c r="D466" s="28"/>
      <x:c r="E466" s="70"/>
      <x:c r="F466" s="71" t="str">
        <x:f>IFERROR(INDEX('学校信息'!$F$4:$F$53,MATCH(E466,'学校信息'!$A$4:$A$53,0)),"")</x:f>
      </x:c>
      <x:c r="G466" s="71" t="str">
        <x:f>IFERROR(INDEX('学校信息'!$G$4:$G$53,MATCH(E466,'学校信息'!$A$4:$A$53,0)),"")</x:f>
      </x:c>
      <x:c r="H466" s="70"/>
      <x:c r="I466" s="70"/>
      <x:c r="J466" s="70"/>
      <x:c r="K466" s="28"/>
      <x:c r="L466" s="28"/>
      <x:c r="M466" s="60" t="str">
        <x:f>IF(COUNTA(A466:E466)+COUNTA(H466:L466)=0,"",IF(OR(A466="",B466="",C466="",D466="",E466="",H466="",I466="",J466="",K466="",L466=""),"缺少必填项",IF(OR(LEN(I466)&lt;&gt;64,LEN(J466)&lt;&gt;64),"SHA718长度应为64",IF(COUNTIF('学校信息'!$A$4:$A$53,E466)=0,"学校ID不存在",IF(COUNTIFS($E$4:$E$503,E466,$A$4:$A$503,A466)&gt;1,"同校全局题目ID重复",IF(COUNTIFS($E$4:$E$503,E466,$H$4:$H$503,H466)&gt;1,"同校本地PID重复",IF(OR(COUNTIFS($A$4:$A$503,A466,$B$4:$B$503,"&lt;&gt;"&amp;B466)&gt;0,COUNTIFS($A$4:$A$503,A466,$C$4:$C$503,"&lt;&gt;"&amp;C466)&gt;0,COUNTIFS($A$4:$A$503,A466,$D$4:$D$503,"&lt;&gt;"&amp;D466)&gt;0,COUNTIFS($A$4:$A$503,A466,$I$4:$I$503,"&lt;&gt;"&amp;I466)&gt;0,COUNTIFS($A$4:$A$503,A466,$J$4:$J$503,"&lt;&gt;"&amp;J466)&gt;0,COUNTIFS($A$4:$A$503,A466,$K$4:$K$503,"&lt;&gt;"&amp;K466)&gt;0,COUNTIFS($A$4:$A$503,A466,$L$4:$L$503,"&lt;&gt;"&amp;L466)&gt;0),"跨校题目配置不一致","通过")))))))</x:f>
      </x:c>
    </x:row>
    <x:row r="467" ht="22" customHeight="1">
      <x:c r="A467" s="70"/>
      <x:c r="B467" s="70"/>
      <x:c r="C467" s="28"/>
      <x:c r="D467" s="28"/>
      <x:c r="E467" s="70"/>
      <x:c r="F467" s="71" t="str">
        <x:f>IFERROR(INDEX('学校信息'!$F$4:$F$53,MATCH(E467,'学校信息'!$A$4:$A$53,0)),"")</x:f>
      </x:c>
      <x:c r="G467" s="71" t="str">
        <x:f>IFERROR(INDEX('学校信息'!$G$4:$G$53,MATCH(E467,'学校信息'!$A$4:$A$53,0)),"")</x:f>
      </x:c>
      <x:c r="H467" s="70"/>
      <x:c r="I467" s="70"/>
      <x:c r="J467" s="70"/>
      <x:c r="K467" s="28"/>
      <x:c r="L467" s="28"/>
      <x:c r="M467" s="60" t="str">
        <x:f>IF(COUNTA(A467:E467)+COUNTA(H467:L467)=0,"",IF(OR(A467="",B467="",C467="",D467="",E467="",H467="",I467="",J467="",K467="",L467=""),"缺少必填项",IF(OR(LEN(I467)&lt;&gt;64,LEN(J467)&lt;&gt;64),"SHA719长度应为64",IF(COUNTIF('学校信息'!$A$4:$A$53,E467)=0,"学校ID不存在",IF(COUNTIFS($E$4:$E$503,E467,$A$4:$A$503,A467)&gt;1,"同校全局题目ID重复",IF(COUNTIFS($E$4:$E$503,E467,$H$4:$H$503,H467)&gt;1,"同校本地PID重复",IF(OR(COUNTIFS($A$4:$A$503,A467,$B$4:$B$503,"&lt;&gt;"&amp;B467)&gt;0,COUNTIFS($A$4:$A$503,A467,$C$4:$C$503,"&lt;&gt;"&amp;C467)&gt;0,COUNTIFS($A$4:$A$503,A467,$D$4:$D$503,"&lt;&gt;"&amp;D467)&gt;0,COUNTIFS($A$4:$A$503,A467,$I$4:$I$503,"&lt;&gt;"&amp;I467)&gt;0,COUNTIFS($A$4:$A$503,A467,$J$4:$J$503,"&lt;&gt;"&amp;J467)&gt;0,COUNTIFS($A$4:$A$503,A467,$K$4:$K$503,"&lt;&gt;"&amp;K467)&gt;0,COUNTIFS($A$4:$A$503,A467,$L$4:$L$503,"&lt;&gt;"&amp;L467)&gt;0),"跨校题目配置不一致","通过")))))))</x:f>
      </x:c>
    </x:row>
    <x:row r="468" ht="22" customHeight="1">
      <x:c r="A468" s="70"/>
      <x:c r="B468" s="70"/>
      <x:c r="C468" s="28"/>
      <x:c r="D468" s="28"/>
      <x:c r="E468" s="70"/>
      <x:c r="F468" s="71" t="str">
        <x:f>IFERROR(INDEX('学校信息'!$F$4:$F$53,MATCH(E468,'学校信息'!$A$4:$A$53,0)),"")</x:f>
      </x:c>
      <x:c r="G468" s="71" t="str">
        <x:f>IFERROR(INDEX('学校信息'!$G$4:$G$53,MATCH(E468,'学校信息'!$A$4:$A$53,0)),"")</x:f>
      </x:c>
      <x:c r="H468" s="70"/>
      <x:c r="I468" s="70"/>
      <x:c r="J468" s="70"/>
      <x:c r="K468" s="28"/>
      <x:c r="L468" s="28"/>
      <x:c r="M468" s="60" t="str">
        <x:f>IF(COUNTA(A468:E468)+COUNTA(H468:L468)=0,"",IF(OR(A468="",B468="",C468="",D468="",E468="",H468="",I468="",J468="",K468="",L468=""),"缺少必填项",IF(OR(LEN(I468)&lt;&gt;64,LEN(J468)&lt;&gt;64),"SHA720长度应为64",IF(COUNTIF('学校信息'!$A$4:$A$53,E468)=0,"学校ID不存在",IF(COUNTIFS($E$4:$E$503,E468,$A$4:$A$503,A468)&gt;1,"同校全局题目ID重复",IF(COUNTIFS($E$4:$E$503,E468,$H$4:$H$503,H468)&gt;1,"同校本地PID重复",IF(OR(COUNTIFS($A$4:$A$503,A468,$B$4:$B$503,"&lt;&gt;"&amp;B468)&gt;0,COUNTIFS($A$4:$A$503,A468,$C$4:$C$503,"&lt;&gt;"&amp;C468)&gt;0,COUNTIFS($A$4:$A$503,A468,$D$4:$D$503,"&lt;&gt;"&amp;D468)&gt;0,COUNTIFS($A$4:$A$503,A468,$I$4:$I$503,"&lt;&gt;"&amp;I468)&gt;0,COUNTIFS($A$4:$A$503,A468,$J$4:$J$503,"&lt;&gt;"&amp;J468)&gt;0,COUNTIFS($A$4:$A$503,A468,$K$4:$K$503,"&lt;&gt;"&amp;K468)&gt;0,COUNTIFS($A$4:$A$503,A468,$L$4:$L$503,"&lt;&gt;"&amp;L468)&gt;0),"跨校题目配置不一致","通过")))))))</x:f>
      </x:c>
    </x:row>
    <x:row r="469" ht="22" customHeight="1">
      <x:c r="A469" s="70"/>
      <x:c r="B469" s="70"/>
      <x:c r="C469" s="28"/>
      <x:c r="D469" s="28"/>
      <x:c r="E469" s="70"/>
      <x:c r="F469" s="71" t="str">
        <x:f>IFERROR(INDEX('学校信息'!$F$4:$F$53,MATCH(E469,'学校信息'!$A$4:$A$53,0)),"")</x:f>
      </x:c>
      <x:c r="G469" s="71" t="str">
        <x:f>IFERROR(INDEX('学校信息'!$G$4:$G$53,MATCH(E469,'学校信息'!$A$4:$A$53,0)),"")</x:f>
      </x:c>
      <x:c r="H469" s="70"/>
      <x:c r="I469" s="70"/>
      <x:c r="J469" s="70"/>
      <x:c r="K469" s="28"/>
      <x:c r="L469" s="28"/>
      <x:c r="M469" s="60" t="str">
        <x:f>IF(COUNTA(A469:E469)+COUNTA(H469:L469)=0,"",IF(OR(A469="",B469="",C469="",D469="",E469="",H469="",I469="",J469="",K469="",L469=""),"缺少必填项",IF(OR(LEN(I469)&lt;&gt;64,LEN(J469)&lt;&gt;64),"SHA721长度应为64",IF(COUNTIF('学校信息'!$A$4:$A$53,E469)=0,"学校ID不存在",IF(COUNTIFS($E$4:$E$503,E469,$A$4:$A$503,A469)&gt;1,"同校全局题目ID重复",IF(COUNTIFS($E$4:$E$503,E469,$H$4:$H$503,H469)&gt;1,"同校本地PID重复",IF(OR(COUNTIFS($A$4:$A$503,A469,$B$4:$B$503,"&lt;&gt;"&amp;B469)&gt;0,COUNTIFS($A$4:$A$503,A469,$C$4:$C$503,"&lt;&gt;"&amp;C469)&gt;0,COUNTIFS($A$4:$A$503,A469,$D$4:$D$503,"&lt;&gt;"&amp;D469)&gt;0,COUNTIFS($A$4:$A$503,A469,$I$4:$I$503,"&lt;&gt;"&amp;I469)&gt;0,COUNTIFS($A$4:$A$503,A469,$J$4:$J$503,"&lt;&gt;"&amp;J469)&gt;0,COUNTIFS($A$4:$A$503,A469,$K$4:$K$503,"&lt;&gt;"&amp;K469)&gt;0,COUNTIFS($A$4:$A$503,A469,$L$4:$L$503,"&lt;&gt;"&amp;L469)&gt;0),"跨校题目配置不一致","通过")))))))</x:f>
      </x:c>
    </x:row>
    <x:row r="470" ht="22" customHeight="1">
      <x:c r="A470" s="70"/>
      <x:c r="B470" s="70"/>
      <x:c r="C470" s="28"/>
      <x:c r="D470" s="28"/>
      <x:c r="E470" s="70"/>
      <x:c r="F470" s="71" t="str">
        <x:f>IFERROR(INDEX('学校信息'!$F$4:$F$53,MATCH(E470,'学校信息'!$A$4:$A$53,0)),"")</x:f>
      </x:c>
      <x:c r="G470" s="71" t="str">
        <x:f>IFERROR(INDEX('学校信息'!$G$4:$G$53,MATCH(E470,'学校信息'!$A$4:$A$53,0)),"")</x:f>
      </x:c>
      <x:c r="H470" s="70"/>
      <x:c r="I470" s="70"/>
      <x:c r="J470" s="70"/>
      <x:c r="K470" s="28"/>
      <x:c r="L470" s="28"/>
      <x:c r="M470" s="60" t="str">
        <x:f>IF(COUNTA(A470:E470)+COUNTA(H470:L470)=0,"",IF(OR(A470="",B470="",C470="",D470="",E470="",H470="",I470="",J470="",K470="",L470=""),"缺少必填项",IF(OR(LEN(I470)&lt;&gt;64,LEN(J470)&lt;&gt;64),"SHA722长度应为64",IF(COUNTIF('学校信息'!$A$4:$A$53,E470)=0,"学校ID不存在",IF(COUNTIFS($E$4:$E$503,E470,$A$4:$A$503,A470)&gt;1,"同校全局题目ID重复",IF(COUNTIFS($E$4:$E$503,E470,$H$4:$H$503,H470)&gt;1,"同校本地PID重复",IF(OR(COUNTIFS($A$4:$A$503,A470,$B$4:$B$503,"&lt;&gt;"&amp;B470)&gt;0,COUNTIFS($A$4:$A$503,A470,$C$4:$C$503,"&lt;&gt;"&amp;C470)&gt;0,COUNTIFS($A$4:$A$503,A470,$D$4:$D$503,"&lt;&gt;"&amp;D470)&gt;0,COUNTIFS($A$4:$A$503,A470,$I$4:$I$503,"&lt;&gt;"&amp;I470)&gt;0,COUNTIFS($A$4:$A$503,A470,$J$4:$J$503,"&lt;&gt;"&amp;J470)&gt;0,COUNTIFS($A$4:$A$503,A470,$K$4:$K$503,"&lt;&gt;"&amp;K470)&gt;0,COUNTIFS($A$4:$A$503,A470,$L$4:$L$503,"&lt;&gt;"&amp;L470)&gt;0),"跨校题目配置不一致","通过")))))))</x:f>
      </x:c>
    </x:row>
    <x:row r="471" ht="22" customHeight="1">
      <x:c r="A471" s="70"/>
      <x:c r="B471" s="70"/>
      <x:c r="C471" s="28"/>
      <x:c r="D471" s="28"/>
      <x:c r="E471" s="70"/>
      <x:c r="F471" s="71" t="str">
        <x:f>IFERROR(INDEX('学校信息'!$F$4:$F$53,MATCH(E471,'学校信息'!$A$4:$A$53,0)),"")</x:f>
      </x:c>
      <x:c r="G471" s="71" t="str">
        <x:f>IFERROR(INDEX('学校信息'!$G$4:$G$53,MATCH(E471,'学校信息'!$A$4:$A$53,0)),"")</x:f>
      </x:c>
      <x:c r="H471" s="70"/>
      <x:c r="I471" s="70"/>
      <x:c r="J471" s="70"/>
      <x:c r="K471" s="28"/>
      <x:c r="L471" s="28"/>
      <x:c r="M471" s="60" t="str">
        <x:f>IF(COUNTA(A471:E471)+COUNTA(H471:L471)=0,"",IF(OR(A471="",B471="",C471="",D471="",E471="",H471="",I471="",J471="",K471="",L471=""),"缺少必填项",IF(OR(LEN(I471)&lt;&gt;64,LEN(J471)&lt;&gt;64),"SHA723长度应为64",IF(COUNTIF('学校信息'!$A$4:$A$53,E471)=0,"学校ID不存在",IF(COUNTIFS($E$4:$E$503,E471,$A$4:$A$503,A471)&gt;1,"同校全局题目ID重复",IF(COUNTIFS($E$4:$E$503,E471,$H$4:$H$503,H471)&gt;1,"同校本地PID重复",IF(OR(COUNTIFS($A$4:$A$503,A471,$B$4:$B$503,"&lt;&gt;"&amp;B471)&gt;0,COUNTIFS($A$4:$A$503,A471,$C$4:$C$503,"&lt;&gt;"&amp;C471)&gt;0,COUNTIFS($A$4:$A$503,A471,$D$4:$D$503,"&lt;&gt;"&amp;D471)&gt;0,COUNTIFS($A$4:$A$503,A471,$I$4:$I$503,"&lt;&gt;"&amp;I471)&gt;0,COUNTIFS($A$4:$A$503,A471,$J$4:$J$503,"&lt;&gt;"&amp;J471)&gt;0,COUNTIFS($A$4:$A$503,A471,$K$4:$K$503,"&lt;&gt;"&amp;K471)&gt;0,COUNTIFS($A$4:$A$503,A471,$L$4:$L$503,"&lt;&gt;"&amp;L471)&gt;0),"跨校题目配置不一致","通过")))))))</x:f>
      </x:c>
    </x:row>
    <x:row r="472" ht="22" customHeight="1">
      <x:c r="A472" s="70"/>
      <x:c r="B472" s="70"/>
      <x:c r="C472" s="28"/>
      <x:c r="D472" s="28"/>
      <x:c r="E472" s="70"/>
      <x:c r="F472" s="71" t="str">
        <x:f>IFERROR(INDEX('学校信息'!$F$4:$F$53,MATCH(E472,'学校信息'!$A$4:$A$53,0)),"")</x:f>
      </x:c>
      <x:c r="G472" s="71" t="str">
        <x:f>IFERROR(INDEX('学校信息'!$G$4:$G$53,MATCH(E472,'学校信息'!$A$4:$A$53,0)),"")</x:f>
      </x:c>
      <x:c r="H472" s="70"/>
      <x:c r="I472" s="70"/>
      <x:c r="J472" s="70"/>
      <x:c r="K472" s="28"/>
      <x:c r="L472" s="28"/>
      <x:c r="M472" s="60" t="str">
        <x:f>IF(COUNTA(A472:E472)+COUNTA(H472:L472)=0,"",IF(OR(A472="",B472="",C472="",D472="",E472="",H472="",I472="",J472="",K472="",L472=""),"缺少必填项",IF(OR(LEN(I472)&lt;&gt;64,LEN(J472)&lt;&gt;64),"SHA724长度应为64",IF(COUNTIF('学校信息'!$A$4:$A$53,E472)=0,"学校ID不存在",IF(COUNTIFS($E$4:$E$503,E472,$A$4:$A$503,A472)&gt;1,"同校全局题目ID重复",IF(COUNTIFS($E$4:$E$503,E472,$H$4:$H$503,H472)&gt;1,"同校本地PID重复",IF(OR(COUNTIFS($A$4:$A$503,A472,$B$4:$B$503,"&lt;&gt;"&amp;B472)&gt;0,COUNTIFS($A$4:$A$503,A472,$C$4:$C$503,"&lt;&gt;"&amp;C472)&gt;0,COUNTIFS($A$4:$A$503,A472,$D$4:$D$503,"&lt;&gt;"&amp;D472)&gt;0,COUNTIFS($A$4:$A$503,A472,$I$4:$I$503,"&lt;&gt;"&amp;I472)&gt;0,COUNTIFS($A$4:$A$503,A472,$J$4:$J$503,"&lt;&gt;"&amp;J472)&gt;0,COUNTIFS($A$4:$A$503,A472,$K$4:$K$503,"&lt;&gt;"&amp;K472)&gt;0,COUNTIFS($A$4:$A$503,A472,$L$4:$L$503,"&lt;&gt;"&amp;L472)&gt;0),"跨校题目配置不一致","通过")))))))</x:f>
      </x:c>
    </x:row>
    <x:row r="473" ht="22" customHeight="1">
      <x:c r="A473" s="70"/>
      <x:c r="B473" s="70"/>
      <x:c r="C473" s="28"/>
      <x:c r="D473" s="28"/>
      <x:c r="E473" s="70"/>
      <x:c r="F473" s="71" t="str">
        <x:f>IFERROR(INDEX('学校信息'!$F$4:$F$53,MATCH(E473,'学校信息'!$A$4:$A$53,0)),"")</x:f>
      </x:c>
      <x:c r="G473" s="71" t="str">
        <x:f>IFERROR(INDEX('学校信息'!$G$4:$G$53,MATCH(E473,'学校信息'!$A$4:$A$53,0)),"")</x:f>
      </x:c>
      <x:c r="H473" s="70"/>
      <x:c r="I473" s="70"/>
      <x:c r="J473" s="70"/>
      <x:c r="K473" s="28"/>
      <x:c r="L473" s="28"/>
      <x:c r="M473" s="60" t="str">
        <x:f>IF(COUNTA(A473:E473)+COUNTA(H473:L473)=0,"",IF(OR(A473="",B473="",C473="",D473="",E473="",H473="",I473="",J473="",K473="",L473=""),"缺少必填项",IF(OR(LEN(I473)&lt;&gt;64,LEN(J473)&lt;&gt;64),"SHA725长度应为64",IF(COUNTIF('学校信息'!$A$4:$A$53,E473)=0,"学校ID不存在",IF(COUNTIFS($E$4:$E$503,E473,$A$4:$A$503,A473)&gt;1,"同校全局题目ID重复",IF(COUNTIFS($E$4:$E$503,E473,$H$4:$H$503,H473)&gt;1,"同校本地PID重复",IF(OR(COUNTIFS($A$4:$A$503,A473,$B$4:$B$503,"&lt;&gt;"&amp;B473)&gt;0,COUNTIFS($A$4:$A$503,A473,$C$4:$C$503,"&lt;&gt;"&amp;C473)&gt;0,COUNTIFS($A$4:$A$503,A473,$D$4:$D$503,"&lt;&gt;"&amp;D473)&gt;0,COUNTIFS($A$4:$A$503,A473,$I$4:$I$503,"&lt;&gt;"&amp;I473)&gt;0,COUNTIFS($A$4:$A$503,A473,$J$4:$J$503,"&lt;&gt;"&amp;J473)&gt;0,COUNTIFS($A$4:$A$503,A473,$K$4:$K$503,"&lt;&gt;"&amp;K473)&gt;0,COUNTIFS($A$4:$A$503,A473,$L$4:$L$503,"&lt;&gt;"&amp;L473)&gt;0),"跨校题目配置不一致","通过")))))))</x:f>
      </x:c>
    </x:row>
    <x:row r="474" ht="22" customHeight="1">
      <x:c r="A474" s="70"/>
      <x:c r="B474" s="70"/>
      <x:c r="C474" s="28"/>
      <x:c r="D474" s="28"/>
      <x:c r="E474" s="70"/>
      <x:c r="F474" s="71" t="str">
        <x:f>IFERROR(INDEX('学校信息'!$F$4:$F$53,MATCH(E474,'学校信息'!$A$4:$A$53,0)),"")</x:f>
      </x:c>
      <x:c r="G474" s="71" t="str">
        <x:f>IFERROR(INDEX('学校信息'!$G$4:$G$53,MATCH(E474,'学校信息'!$A$4:$A$53,0)),"")</x:f>
      </x:c>
      <x:c r="H474" s="70"/>
      <x:c r="I474" s="70"/>
      <x:c r="J474" s="70"/>
      <x:c r="K474" s="28"/>
      <x:c r="L474" s="28"/>
      <x:c r="M474" s="60" t="str">
        <x:f>IF(COUNTA(A474:E474)+COUNTA(H474:L474)=0,"",IF(OR(A474="",B474="",C474="",D474="",E474="",H474="",I474="",J474="",K474="",L474=""),"缺少必填项",IF(OR(LEN(I474)&lt;&gt;64,LEN(J474)&lt;&gt;64),"SHA726长度应为64",IF(COUNTIF('学校信息'!$A$4:$A$53,E474)=0,"学校ID不存在",IF(COUNTIFS($E$4:$E$503,E474,$A$4:$A$503,A474)&gt;1,"同校全局题目ID重复",IF(COUNTIFS($E$4:$E$503,E474,$H$4:$H$503,H474)&gt;1,"同校本地PID重复",IF(OR(COUNTIFS($A$4:$A$503,A474,$B$4:$B$503,"&lt;&gt;"&amp;B474)&gt;0,COUNTIFS($A$4:$A$503,A474,$C$4:$C$503,"&lt;&gt;"&amp;C474)&gt;0,COUNTIFS($A$4:$A$503,A474,$D$4:$D$503,"&lt;&gt;"&amp;D474)&gt;0,COUNTIFS($A$4:$A$503,A474,$I$4:$I$503,"&lt;&gt;"&amp;I474)&gt;0,COUNTIFS($A$4:$A$503,A474,$J$4:$J$503,"&lt;&gt;"&amp;J474)&gt;0,COUNTIFS($A$4:$A$503,A474,$K$4:$K$503,"&lt;&gt;"&amp;K474)&gt;0,COUNTIFS($A$4:$A$503,A474,$L$4:$L$503,"&lt;&gt;"&amp;L474)&gt;0),"跨校题目配置不一致","通过")))))))</x:f>
      </x:c>
    </x:row>
    <x:row r="475" ht="22" customHeight="1">
      <x:c r="A475" s="70"/>
      <x:c r="B475" s="70"/>
      <x:c r="C475" s="28"/>
      <x:c r="D475" s="28"/>
      <x:c r="E475" s="70"/>
      <x:c r="F475" s="71" t="str">
        <x:f>IFERROR(INDEX('学校信息'!$F$4:$F$53,MATCH(E475,'学校信息'!$A$4:$A$53,0)),"")</x:f>
      </x:c>
      <x:c r="G475" s="71" t="str">
        <x:f>IFERROR(INDEX('学校信息'!$G$4:$G$53,MATCH(E475,'学校信息'!$A$4:$A$53,0)),"")</x:f>
      </x:c>
      <x:c r="H475" s="70"/>
      <x:c r="I475" s="70"/>
      <x:c r="J475" s="70"/>
      <x:c r="K475" s="28"/>
      <x:c r="L475" s="28"/>
      <x:c r="M475" s="60" t="str">
        <x:f>IF(COUNTA(A475:E475)+COUNTA(H475:L475)=0,"",IF(OR(A475="",B475="",C475="",D475="",E475="",H475="",I475="",J475="",K475="",L475=""),"缺少必填项",IF(OR(LEN(I475)&lt;&gt;64,LEN(J475)&lt;&gt;64),"SHA727长度应为64",IF(COUNTIF('学校信息'!$A$4:$A$53,E475)=0,"学校ID不存在",IF(COUNTIFS($E$4:$E$503,E475,$A$4:$A$503,A475)&gt;1,"同校全局题目ID重复",IF(COUNTIFS($E$4:$E$503,E475,$H$4:$H$503,H475)&gt;1,"同校本地PID重复",IF(OR(COUNTIFS($A$4:$A$503,A475,$B$4:$B$503,"&lt;&gt;"&amp;B475)&gt;0,COUNTIFS($A$4:$A$503,A475,$C$4:$C$503,"&lt;&gt;"&amp;C475)&gt;0,COUNTIFS($A$4:$A$503,A475,$D$4:$D$503,"&lt;&gt;"&amp;D475)&gt;0,COUNTIFS($A$4:$A$503,A475,$I$4:$I$503,"&lt;&gt;"&amp;I475)&gt;0,COUNTIFS($A$4:$A$503,A475,$J$4:$J$503,"&lt;&gt;"&amp;J475)&gt;0,COUNTIFS($A$4:$A$503,A475,$K$4:$K$503,"&lt;&gt;"&amp;K475)&gt;0,COUNTIFS($A$4:$A$503,A475,$L$4:$L$503,"&lt;&gt;"&amp;L475)&gt;0),"跨校题目配置不一致","通过")))))))</x:f>
      </x:c>
    </x:row>
    <x:row r="476" ht="22" customHeight="1">
      <x:c r="A476" s="70"/>
      <x:c r="B476" s="70"/>
      <x:c r="C476" s="28"/>
      <x:c r="D476" s="28"/>
      <x:c r="E476" s="70"/>
      <x:c r="F476" s="71" t="str">
        <x:f>IFERROR(INDEX('学校信息'!$F$4:$F$53,MATCH(E476,'学校信息'!$A$4:$A$53,0)),"")</x:f>
      </x:c>
      <x:c r="G476" s="71" t="str">
        <x:f>IFERROR(INDEX('学校信息'!$G$4:$G$53,MATCH(E476,'学校信息'!$A$4:$A$53,0)),"")</x:f>
      </x:c>
      <x:c r="H476" s="70"/>
      <x:c r="I476" s="70"/>
      <x:c r="J476" s="70"/>
      <x:c r="K476" s="28"/>
      <x:c r="L476" s="28"/>
      <x:c r="M476" s="60" t="str">
        <x:f>IF(COUNTA(A476:E476)+COUNTA(H476:L476)=0,"",IF(OR(A476="",B476="",C476="",D476="",E476="",H476="",I476="",J476="",K476="",L476=""),"缺少必填项",IF(OR(LEN(I476)&lt;&gt;64,LEN(J476)&lt;&gt;64),"SHA728长度应为64",IF(COUNTIF('学校信息'!$A$4:$A$53,E476)=0,"学校ID不存在",IF(COUNTIFS($E$4:$E$503,E476,$A$4:$A$503,A476)&gt;1,"同校全局题目ID重复",IF(COUNTIFS($E$4:$E$503,E476,$H$4:$H$503,H476)&gt;1,"同校本地PID重复",IF(OR(COUNTIFS($A$4:$A$503,A476,$B$4:$B$503,"&lt;&gt;"&amp;B476)&gt;0,COUNTIFS($A$4:$A$503,A476,$C$4:$C$503,"&lt;&gt;"&amp;C476)&gt;0,COUNTIFS($A$4:$A$503,A476,$D$4:$D$503,"&lt;&gt;"&amp;D476)&gt;0,COUNTIFS($A$4:$A$503,A476,$I$4:$I$503,"&lt;&gt;"&amp;I476)&gt;0,COUNTIFS($A$4:$A$503,A476,$J$4:$J$503,"&lt;&gt;"&amp;J476)&gt;0,COUNTIFS($A$4:$A$503,A476,$K$4:$K$503,"&lt;&gt;"&amp;K476)&gt;0,COUNTIFS($A$4:$A$503,A476,$L$4:$L$503,"&lt;&gt;"&amp;L476)&gt;0),"跨校题目配置不一致","通过")))))))</x:f>
      </x:c>
    </x:row>
    <x:row r="477" ht="22" customHeight="1">
      <x:c r="A477" s="70"/>
      <x:c r="B477" s="70"/>
      <x:c r="C477" s="28"/>
      <x:c r="D477" s="28"/>
      <x:c r="E477" s="70"/>
      <x:c r="F477" s="71" t="str">
        <x:f>IFERROR(INDEX('学校信息'!$F$4:$F$53,MATCH(E477,'学校信息'!$A$4:$A$53,0)),"")</x:f>
      </x:c>
      <x:c r="G477" s="71" t="str">
        <x:f>IFERROR(INDEX('学校信息'!$G$4:$G$53,MATCH(E477,'学校信息'!$A$4:$A$53,0)),"")</x:f>
      </x:c>
      <x:c r="H477" s="70"/>
      <x:c r="I477" s="70"/>
      <x:c r="J477" s="70"/>
      <x:c r="K477" s="28"/>
      <x:c r="L477" s="28"/>
      <x:c r="M477" s="60" t="str">
        <x:f>IF(COUNTA(A477:E477)+COUNTA(H477:L477)=0,"",IF(OR(A477="",B477="",C477="",D477="",E477="",H477="",I477="",J477="",K477="",L477=""),"缺少必填项",IF(OR(LEN(I477)&lt;&gt;64,LEN(J477)&lt;&gt;64),"SHA729长度应为64",IF(COUNTIF('学校信息'!$A$4:$A$53,E477)=0,"学校ID不存在",IF(COUNTIFS($E$4:$E$503,E477,$A$4:$A$503,A477)&gt;1,"同校全局题目ID重复",IF(COUNTIFS($E$4:$E$503,E477,$H$4:$H$503,H477)&gt;1,"同校本地PID重复",IF(OR(COUNTIFS($A$4:$A$503,A477,$B$4:$B$503,"&lt;&gt;"&amp;B477)&gt;0,COUNTIFS($A$4:$A$503,A477,$C$4:$C$503,"&lt;&gt;"&amp;C477)&gt;0,COUNTIFS($A$4:$A$503,A477,$D$4:$D$503,"&lt;&gt;"&amp;D477)&gt;0,COUNTIFS($A$4:$A$503,A477,$I$4:$I$503,"&lt;&gt;"&amp;I477)&gt;0,COUNTIFS($A$4:$A$503,A477,$J$4:$J$503,"&lt;&gt;"&amp;J477)&gt;0,COUNTIFS($A$4:$A$503,A477,$K$4:$K$503,"&lt;&gt;"&amp;K477)&gt;0,COUNTIFS($A$4:$A$503,A477,$L$4:$L$503,"&lt;&gt;"&amp;L477)&gt;0),"跨校题目配置不一致","通过")))))))</x:f>
      </x:c>
    </x:row>
    <x:row r="478" ht="22" customHeight="1">
      <x:c r="A478" s="70"/>
      <x:c r="B478" s="70"/>
      <x:c r="C478" s="28"/>
      <x:c r="D478" s="28"/>
      <x:c r="E478" s="70"/>
      <x:c r="F478" s="71" t="str">
        <x:f>IFERROR(INDEX('学校信息'!$F$4:$F$53,MATCH(E478,'学校信息'!$A$4:$A$53,0)),"")</x:f>
      </x:c>
      <x:c r="G478" s="71" t="str">
        <x:f>IFERROR(INDEX('学校信息'!$G$4:$G$53,MATCH(E478,'学校信息'!$A$4:$A$53,0)),"")</x:f>
      </x:c>
      <x:c r="H478" s="70"/>
      <x:c r="I478" s="70"/>
      <x:c r="J478" s="70"/>
      <x:c r="K478" s="28"/>
      <x:c r="L478" s="28"/>
      <x:c r="M478" s="60" t="str">
        <x:f>IF(COUNTA(A478:E478)+COUNTA(H478:L478)=0,"",IF(OR(A478="",B478="",C478="",D478="",E478="",H478="",I478="",J478="",K478="",L478=""),"缺少必填项",IF(OR(LEN(I478)&lt;&gt;64,LEN(J478)&lt;&gt;64),"SHA730长度应为64",IF(COUNTIF('学校信息'!$A$4:$A$53,E478)=0,"学校ID不存在",IF(COUNTIFS($E$4:$E$503,E478,$A$4:$A$503,A478)&gt;1,"同校全局题目ID重复",IF(COUNTIFS($E$4:$E$503,E478,$H$4:$H$503,H478)&gt;1,"同校本地PID重复",IF(OR(COUNTIFS($A$4:$A$503,A478,$B$4:$B$503,"&lt;&gt;"&amp;B478)&gt;0,COUNTIFS($A$4:$A$503,A478,$C$4:$C$503,"&lt;&gt;"&amp;C478)&gt;0,COUNTIFS($A$4:$A$503,A478,$D$4:$D$503,"&lt;&gt;"&amp;D478)&gt;0,COUNTIFS($A$4:$A$503,A478,$I$4:$I$503,"&lt;&gt;"&amp;I478)&gt;0,COUNTIFS($A$4:$A$503,A478,$J$4:$J$503,"&lt;&gt;"&amp;J478)&gt;0,COUNTIFS($A$4:$A$503,A478,$K$4:$K$503,"&lt;&gt;"&amp;K478)&gt;0,COUNTIFS($A$4:$A$503,A478,$L$4:$L$503,"&lt;&gt;"&amp;L478)&gt;0),"跨校题目配置不一致","通过")))))))</x:f>
      </x:c>
    </x:row>
    <x:row r="479" ht="22" customHeight="1">
      <x:c r="A479" s="70"/>
      <x:c r="B479" s="70"/>
      <x:c r="C479" s="28"/>
      <x:c r="D479" s="28"/>
      <x:c r="E479" s="70"/>
      <x:c r="F479" s="71" t="str">
        <x:f>IFERROR(INDEX('学校信息'!$F$4:$F$53,MATCH(E479,'学校信息'!$A$4:$A$53,0)),"")</x:f>
      </x:c>
      <x:c r="G479" s="71" t="str">
        <x:f>IFERROR(INDEX('学校信息'!$G$4:$G$53,MATCH(E479,'学校信息'!$A$4:$A$53,0)),"")</x:f>
      </x:c>
      <x:c r="H479" s="70"/>
      <x:c r="I479" s="70"/>
      <x:c r="J479" s="70"/>
      <x:c r="K479" s="28"/>
      <x:c r="L479" s="28"/>
      <x:c r="M479" s="60" t="str">
        <x:f>IF(COUNTA(A479:E479)+COUNTA(H479:L479)=0,"",IF(OR(A479="",B479="",C479="",D479="",E479="",H479="",I479="",J479="",K479="",L479=""),"缺少必填项",IF(OR(LEN(I479)&lt;&gt;64,LEN(J479)&lt;&gt;64),"SHA731长度应为64",IF(COUNTIF('学校信息'!$A$4:$A$53,E479)=0,"学校ID不存在",IF(COUNTIFS($E$4:$E$503,E479,$A$4:$A$503,A479)&gt;1,"同校全局题目ID重复",IF(COUNTIFS($E$4:$E$503,E479,$H$4:$H$503,H479)&gt;1,"同校本地PID重复",IF(OR(COUNTIFS($A$4:$A$503,A479,$B$4:$B$503,"&lt;&gt;"&amp;B479)&gt;0,COUNTIFS($A$4:$A$503,A479,$C$4:$C$503,"&lt;&gt;"&amp;C479)&gt;0,COUNTIFS($A$4:$A$503,A479,$D$4:$D$503,"&lt;&gt;"&amp;D479)&gt;0,COUNTIFS($A$4:$A$503,A479,$I$4:$I$503,"&lt;&gt;"&amp;I479)&gt;0,COUNTIFS($A$4:$A$503,A479,$J$4:$J$503,"&lt;&gt;"&amp;J479)&gt;0,COUNTIFS($A$4:$A$503,A479,$K$4:$K$503,"&lt;&gt;"&amp;K479)&gt;0,COUNTIFS($A$4:$A$503,A479,$L$4:$L$503,"&lt;&gt;"&amp;L479)&gt;0),"跨校题目配置不一致","通过")))))))</x:f>
      </x:c>
    </x:row>
    <x:row r="480" ht="22" customHeight="1">
      <x:c r="A480" s="70"/>
      <x:c r="B480" s="70"/>
      <x:c r="C480" s="28"/>
      <x:c r="D480" s="28"/>
      <x:c r="E480" s="70"/>
      <x:c r="F480" s="71" t="str">
        <x:f>IFERROR(INDEX('学校信息'!$F$4:$F$53,MATCH(E480,'学校信息'!$A$4:$A$53,0)),"")</x:f>
      </x:c>
      <x:c r="G480" s="71" t="str">
        <x:f>IFERROR(INDEX('学校信息'!$G$4:$G$53,MATCH(E480,'学校信息'!$A$4:$A$53,0)),"")</x:f>
      </x:c>
      <x:c r="H480" s="70"/>
      <x:c r="I480" s="70"/>
      <x:c r="J480" s="70"/>
      <x:c r="K480" s="28"/>
      <x:c r="L480" s="28"/>
      <x:c r="M480" s="60" t="str">
        <x:f>IF(COUNTA(A480:E480)+COUNTA(H480:L480)=0,"",IF(OR(A480="",B480="",C480="",D480="",E480="",H480="",I480="",J480="",K480="",L480=""),"缺少必填项",IF(OR(LEN(I480)&lt;&gt;64,LEN(J480)&lt;&gt;64),"SHA732长度应为64",IF(COUNTIF('学校信息'!$A$4:$A$53,E480)=0,"学校ID不存在",IF(COUNTIFS($E$4:$E$503,E480,$A$4:$A$503,A480)&gt;1,"同校全局题目ID重复",IF(COUNTIFS($E$4:$E$503,E480,$H$4:$H$503,H480)&gt;1,"同校本地PID重复",IF(OR(COUNTIFS($A$4:$A$503,A480,$B$4:$B$503,"&lt;&gt;"&amp;B480)&gt;0,COUNTIFS($A$4:$A$503,A480,$C$4:$C$503,"&lt;&gt;"&amp;C480)&gt;0,COUNTIFS($A$4:$A$503,A480,$D$4:$D$503,"&lt;&gt;"&amp;D480)&gt;0,COUNTIFS($A$4:$A$503,A480,$I$4:$I$503,"&lt;&gt;"&amp;I480)&gt;0,COUNTIFS($A$4:$A$503,A480,$J$4:$J$503,"&lt;&gt;"&amp;J480)&gt;0,COUNTIFS($A$4:$A$503,A480,$K$4:$K$503,"&lt;&gt;"&amp;K480)&gt;0,COUNTIFS($A$4:$A$503,A480,$L$4:$L$503,"&lt;&gt;"&amp;L480)&gt;0),"跨校题目配置不一致","通过")))))))</x:f>
      </x:c>
    </x:row>
    <x:row r="481" ht="22" customHeight="1">
      <x:c r="A481" s="70"/>
      <x:c r="B481" s="70"/>
      <x:c r="C481" s="28"/>
      <x:c r="D481" s="28"/>
      <x:c r="E481" s="70"/>
      <x:c r="F481" s="71" t="str">
        <x:f>IFERROR(INDEX('学校信息'!$F$4:$F$53,MATCH(E481,'学校信息'!$A$4:$A$53,0)),"")</x:f>
      </x:c>
      <x:c r="G481" s="71" t="str">
        <x:f>IFERROR(INDEX('学校信息'!$G$4:$G$53,MATCH(E481,'学校信息'!$A$4:$A$53,0)),"")</x:f>
      </x:c>
      <x:c r="H481" s="70"/>
      <x:c r="I481" s="70"/>
      <x:c r="J481" s="70"/>
      <x:c r="K481" s="28"/>
      <x:c r="L481" s="28"/>
      <x:c r="M481" s="60" t="str">
        <x:f>IF(COUNTA(A481:E481)+COUNTA(H481:L481)=0,"",IF(OR(A481="",B481="",C481="",D481="",E481="",H481="",I481="",J481="",K481="",L481=""),"缺少必填项",IF(OR(LEN(I481)&lt;&gt;64,LEN(J481)&lt;&gt;64),"SHA733长度应为64",IF(COUNTIF('学校信息'!$A$4:$A$53,E481)=0,"学校ID不存在",IF(COUNTIFS($E$4:$E$503,E481,$A$4:$A$503,A481)&gt;1,"同校全局题目ID重复",IF(COUNTIFS($E$4:$E$503,E481,$H$4:$H$503,H481)&gt;1,"同校本地PID重复",IF(OR(COUNTIFS($A$4:$A$503,A481,$B$4:$B$503,"&lt;&gt;"&amp;B481)&gt;0,COUNTIFS($A$4:$A$503,A481,$C$4:$C$503,"&lt;&gt;"&amp;C481)&gt;0,COUNTIFS($A$4:$A$503,A481,$D$4:$D$503,"&lt;&gt;"&amp;D481)&gt;0,COUNTIFS($A$4:$A$503,A481,$I$4:$I$503,"&lt;&gt;"&amp;I481)&gt;0,COUNTIFS($A$4:$A$503,A481,$J$4:$J$503,"&lt;&gt;"&amp;J481)&gt;0,COUNTIFS($A$4:$A$503,A481,$K$4:$K$503,"&lt;&gt;"&amp;K481)&gt;0,COUNTIFS($A$4:$A$503,A481,$L$4:$L$503,"&lt;&gt;"&amp;L481)&gt;0),"跨校题目配置不一致","通过")))))))</x:f>
      </x:c>
    </x:row>
    <x:row r="482" ht="22" customHeight="1">
      <x:c r="A482" s="70"/>
      <x:c r="B482" s="70"/>
      <x:c r="C482" s="28"/>
      <x:c r="D482" s="28"/>
      <x:c r="E482" s="70"/>
      <x:c r="F482" s="71" t="str">
        <x:f>IFERROR(INDEX('学校信息'!$F$4:$F$53,MATCH(E482,'学校信息'!$A$4:$A$53,0)),"")</x:f>
      </x:c>
      <x:c r="G482" s="71" t="str">
        <x:f>IFERROR(INDEX('学校信息'!$G$4:$G$53,MATCH(E482,'学校信息'!$A$4:$A$53,0)),"")</x:f>
      </x:c>
      <x:c r="H482" s="70"/>
      <x:c r="I482" s="70"/>
      <x:c r="J482" s="70"/>
      <x:c r="K482" s="28"/>
      <x:c r="L482" s="28"/>
      <x:c r="M482" s="60" t="str">
        <x:f>IF(COUNTA(A482:E482)+COUNTA(H482:L482)=0,"",IF(OR(A482="",B482="",C482="",D482="",E482="",H482="",I482="",J482="",K482="",L482=""),"缺少必填项",IF(OR(LEN(I482)&lt;&gt;64,LEN(J482)&lt;&gt;64),"SHA734长度应为64",IF(COUNTIF('学校信息'!$A$4:$A$53,E482)=0,"学校ID不存在",IF(COUNTIFS($E$4:$E$503,E482,$A$4:$A$503,A482)&gt;1,"同校全局题目ID重复",IF(COUNTIFS($E$4:$E$503,E482,$H$4:$H$503,H482)&gt;1,"同校本地PID重复",IF(OR(COUNTIFS($A$4:$A$503,A482,$B$4:$B$503,"&lt;&gt;"&amp;B482)&gt;0,COUNTIFS($A$4:$A$503,A482,$C$4:$C$503,"&lt;&gt;"&amp;C482)&gt;0,COUNTIFS($A$4:$A$503,A482,$D$4:$D$503,"&lt;&gt;"&amp;D482)&gt;0,COUNTIFS($A$4:$A$503,A482,$I$4:$I$503,"&lt;&gt;"&amp;I482)&gt;0,COUNTIFS($A$4:$A$503,A482,$J$4:$J$503,"&lt;&gt;"&amp;J482)&gt;0,COUNTIFS($A$4:$A$503,A482,$K$4:$K$503,"&lt;&gt;"&amp;K482)&gt;0,COUNTIFS($A$4:$A$503,A482,$L$4:$L$503,"&lt;&gt;"&amp;L482)&gt;0),"跨校题目配置不一致","通过")))))))</x:f>
      </x:c>
    </x:row>
    <x:row r="483" ht="22" customHeight="1">
      <x:c r="A483" s="70"/>
      <x:c r="B483" s="70"/>
      <x:c r="C483" s="28"/>
      <x:c r="D483" s="28"/>
      <x:c r="E483" s="70"/>
      <x:c r="F483" s="71" t="str">
        <x:f>IFERROR(INDEX('学校信息'!$F$4:$F$53,MATCH(E483,'学校信息'!$A$4:$A$53,0)),"")</x:f>
      </x:c>
      <x:c r="G483" s="71" t="str">
        <x:f>IFERROR(INDEX('学校信息'!$G$4:$G$53,MATCH(E483,'学校信息'!$A$4:$A$53,0)),"")</x:f>
      </x:c>
      <x:c r="H483" s="70"/>
      <x:c r="I483" s="70"/>
      <x:c r="J483" s="70"/>
      <x:c r="K483" s="28"/>
      <x:c r="L483" s="28"/>
      <x:c r="M483" s="60" t="str">
        <x:f>IF(COUNTA(A483:E483)+COUNTA(H483:L483)=0,"",IF(OR(A483="",B483="",C483="",D483="",E483="",H483="",I483="",J483="",K483="",L483=""),"缺少必填项",IF(OR(LEN(I483)&lt;&gt;64,LEN(J483)&lt;&gt;64),"SHA735长度应为64",IF(COUNTIF('学校信息'!$A$4:$A$53,E483)=0,"学校ID不存在",IF(COUNTIFS($E$4:$E$503,E483,$A$4:$A$503,A483)&gt;1,"同校全局题目ID重复",IF(COUNTIFS($E$4:$E$503,E483,$H$4:$H$503,H483)&gt;1,"同校本地PID重复",IF(OR(COUNTIFS($A$4:$A$503,A483,$B$4:$B$503,"&lt;&gt;"&amp;B483)&gt;0,COUNTIFS($A$4:$A$503,A483,$C$4:$C$503,"&lt;&gt;"&amp;C483)&gt;0,COUNTIFS($A$4:$A$503,A483,$D$4:$D$503,"&lt;&gt;"&amp;D483)&gt;0,COUNTIFS($A$4:$A$503,A483,$I$4:$I$503,"&lt;&gt;"&amp;I483)&gt;0,COUNTIFS($A$4:$A$503,A483,$J$4:$J$503,"&lt;&gt;"&amp;J483)&gt;0,COUNTIFS($A$4:$A$503,A483,$K$4:$K$503,"&lt;&gt;"&amp;K483)&gt;0,COUNTIFS($A$4:$A$503,A483,$L$4:$L$503,"&lt;&gt;"&amp;L483)&gt;0),"跨校题目配置不一致","通过")))))))</x:f>
      </x:c>
    </x:row>
    <x:row r="484" ht="22" customHeight="1">
      <x:c r="A484" s="70"/>
      <x:c r="B484" s="70"/>
      <x:c r="C484" s="28"/>
      <x:c r="D484" s="28"/>
      <x:c r="E484" s="70"/>
      <x:c r="F484" s="71" t="str">
        <x:f>IFERROR(INDEX('学校信息'!$F$4:$F$53,MATCH(E484,'学校信息'!$A$4:$A$53,0)),"")</x:f>
      </x:c>
      <x:c r="G484" s="71" t="str">
        <x:f>IFERROR(INDEX('学校信息'!$G$4:$G$53,MATCH(E484,'学校信息'!$A$4:$A$53,0)),"")</x:f>
      </x:c>
      <x:c r="H484" s="70"/>
      <x:c r="I484" s="70"/>
      <x:c r="J484" s="70"/>
      <x:c r="K484" s="28"/>
      <x:c r="L484" s="28"/>
      <x:c r="M484" s="60" t="str">
        <x:f>IF(COUNTA(A484:E484)+COUNTA(H484:L484)=0,"",IF(OR(A484="",B484="",C484="",D484="",E484="",H484="",I484="",J484="",K484="",L484=""),"缺少必填项",IF(OR(LEN(I484)&lt;&gt;64,LEN(J484)&lt;&gt;64),"SHA736长度应为64",IF(COUNTIF('学校信息'!$A$4:$A$53,E484)=0,"学校ID不存在",IF(COUNTIFS($E$4:$E$503,E484,$A$4:$A$503,A484)&gt;1,"同校全局题目ID重复",IF(COUNTIFS($E$4:$E$503,E484,$H$4:$H$503,H484)&gt;1,"同校本地PID重复",IF(OR(COUNTIFS($A$4:$A$503,A484,$B$4:$B$503,"&lt;&gt;"&amp;B484)&gt;0,COUNTIFS($A$4:$A$503,A484,$C$4:$C$503,"&lt;&gt;"&amp;C484)&gt;0,COUNTIFS($A$4:$A$503,A484,$D$4:$D$503,"&lt;&gt;"&amp;D484)&gt;0,COUNTIFS($A$4:$A$503,A484,$I$4:$I$503,"&lt;&gt;"&amp;I484)&gt;0,COUNTIFS($A$4:$A$503,A484,$J$4:$J$503,"&lt;&gt;"&amp;J484)&gt;0,COUNTIFS($A$4:$A$503,A484,$K$4:$K$503,"&lt;&gt;"&amp;K484)&gt;0,COUNTIFS($A$4:$A$503,A484,$L$4:$L$503,"&lt;&gt;"&amp;L484)&gt;0),"跨校题目配置不一致","通过")))))))</x:f>
      </x:c>
    </x:row>
    <x:row r="485" ht="22" customHeight="1">
      <x:c r="A485" s="70"/>
      <x:c r="B485" s="70"/>
      <x:c r="C485" s="28"/>
      <x:c r="D485" s="28"/>
      <x:c r="E485" s="70"/>
      <x:c r="F485" s="71" t="str">
        <x:f>IFERROR(INDEX('学校信息'!$F$4:$F$53,MATCH(E485,'学校信息'!$A$4:$A$53,0)),"")</x:f>
      </x:c>
      <x:c r="G485" s="71" t="str">
        <x:f>IFERROR(INDEX('学校信息'!$G$4:$G$53,MATCH(E485,'学校信息'!$A$4:$A$53,0)),"")</x:f>
      </x:c>
      <x:c r="H485" s="70"/>
      <x:c r="I485" s="70"/>
      <x:c r="J485" s="70"/>
      <x:c r="K485" s="28"/>
      <x:c r="L485" s="28"/>
      <x:c r="M485" s="60" t="str">
        <x:f>IF(COUNTA(A485:E485)+COUNTA(H485:L485)=0,"",IF(OR(A485="",B485="",C485="",D485="",E485="",H485="",I485="",J485="",K485="",L485=""),"缺少必填项",IF(OR(LEN(I485)&lt;&gt;64,LEN(J485)&lt;&gt;64),"SHA737长度应为64",IF(COUNTIF('学校信息'!$A$4:$A$53,E485)=0,"学校ID不存在",IF(COUNTIFS($E$4:$E$503,E485,$A$4:$A$503,A485)&gt;1,"同校全局题目ID重复",IF(COUNTIFS($E$4:$E$503,E485,$H$4:$H$503,H485)&gt;1,"同校本地PID重复",IF(OR(COUNTIFS($A$4:$A$503,A485,$B$4:$B$503,"&lt;&gt;"&amp;B485)&gt;0,COUNTIFS($A$4:$A$503,A485,$C$4:$C$503,"&lt;&gt;"&amp;C485)&gt;0,COUNTIFS($A$4:$A$503,A485,$D$4:$D$503,"&lt;&gt;"&amp;D485)&gt;0,COUNTIFS($A$4:$A$503,A485,$I$4:$I$503,"&lt;&gt;"&amp;I485)&gt;0,COUNTIFS($A$4:$A$503,A485,$J$4:$J$503,"&lt;&gt;"&amp;J485)&gt;0,COUNTIFS($A$4:$A$503,A485,$K$4:$K$503,"&lt;&gt;"&amp;K485)&gt;0,COUNTIFS($A$4:$A$503,A485,$L$4:$L$503,"&lt;&gt;"&amp;L485)&gt;0),"跨校题目配置不一致","通过")))))))</x:f>
      </x:c>
    </x:row>
    <x:row r="486" ht="22" customHeight="1">
      <x:c r="A486" s="70"/>
      <x:c r="B486" s="70"/>
      <x:c r="C486" s="28"/>
      <x:c r="D486" s="28"/>
      <x:c r="E486" s="70"/>
      <x:c r="F486" s="71" t="str">
        <x:f>IFERROR(INDEX('学校信息'!$F$4:$F$53,MATCH(E486,'学校信息'!$A$4:$A$53,0)),"")</x:f>
      </x:c>
      <x:c r="G486" s="71" t="str">
        <x:f>IFERROR(INDEX('学校信息'!$G$4:$G$53,MATCH(E486,'学校信息'!$A$4:$A$53,0)),"")</x:f>
      </x:c>
      <x:c r="H486" s="70"/>
      <x:c r="I486" s="70"/>
      <x:c r="J486" s="70"/>
      <x:c r="K486" s="28"/>
      <x:c r="L486" s="28"/>
      <x:c r="M486" s="60" t="str">
        <x:f>IF(COUNTA(A486:E486)+COUNTA(H486:L486)=0,"",IF(OR(A486="",B486="",C486="",D486="",E486="",H486="",I486="",J486="",K486="",L486=""),"缺少必填项",IF(OR(LEN(I486)&lt;&gt;64,LEN(J486)&lt;&gt;64),"SHA738长度应为64",IF(COUNTIF('学校信息'!$A$4:$A$53,E486)=0,"学校ID不存在",IF(COUNTIFS($E$4:$E$503,E486,$A$4:$A$503,A486)&gt;1,"同校全局题目ID重复",IF(COUNTIFS($E$4:$E$503,E486,$H$4:$H$503,H486)&gt;1,"同校本地PID重复",IF(OR(COUNTIFS($A$4:$A$503,A486,$B$4:$B$503,"&lt;&gt;"&amp;B486)&gt;0,COUNTIFS($A$4:$A$503,A486,$C$4:$C$503,"&lt;&gt;"&amp;C486)&gt;0,COUNTIFS($A$4:$A$503,A486,$D$4:$D$503,"&lt;&gt;"&amp;D486)&gt;0,COUNTIFS($A$4:$A$503,A486,$I$4:$I$503,"&lt;&gt;"&amp;I486)&gt;0,COUNTIFS($A$4:$A$503,A486,$J$4:$J$503,"&lt;&gt;"&amp;J486)&gt;0,COUNTIFS($A$4:$A$503,A486,$K$4:$K$503,"&lt;&gt;"&amp;K486)&gt;0,COUNTIFS($A$4:$A$503,A486,$L$4:$L$503,"&lt;&gt;"&amp;L486)&gt;0),"跨校题目配置不一致","通过")))))))</x:f>
      </x:c>
    </x:row>
    <x:row r="487" ht="22" customHeight="1">
      <x:c r="A487" s="70"/>
      <x:c r="B487" s="70"/>
      <x:c r="C487" s="28"/>
      <x:c r="D487" s="28"/>
      <x:c r="E487" s="70"/>
      <x:c r="F487" s="71" t="str">
        <x:f>IFERROR(INDEX('学校信息'!$F$4:$F$53,MATCH(E487,'学校信息'!$A$4:$A$53,0)),"")</x:f>
      </x:c>
      <x:c r="G487" s="71" t="str">
        <x:f>IFERROR(INDEX('学校信息'!$G$4:$G$53,MATCH(E487,'学校信息'!$A$4:$A$53,0)),"")</x:f>
      </x:c>
      <x:c r="H487" s="70"/>
      <x:c r="I487" s="70"/>
      <x:c r="J487" s="70"/>
      <x:c r="K487" s="28"/>
      <x:c r="L487" s="28"/>
      <x:c r="M487" s="60" t="str">
        <x:f>IF(COUNTA(A487:E487)+COUNTA(H487:L487)=0,"",IF(OR(A487="",B487="",C487="",D487="",E487="",H487="",I487="",J487="",K487="",L487=""),"缺少必填项",IF(OR(LEN(I487)&lt;&gt;64,LEN(J487)&lt;&gt;64),"SHA739长度应为64",IF(COUNTIF('学校信息'!$A$4:$A$53,E487)=0,"学校ID不存在",IF(COUNTIFS($E$4:$E$503,E487,$A$4:$A$503,A487)&gt;1,"同校全局题目ID重复",IF(COUNTIFS($E$4:$E$503,E487,$H$4:$H$503,H487)&gt;1,"同校本地PID重复",IF(OR(COUNTIFS($A$4:$A$503,A487,$B$4:$B$503,"&lt;&gt;"&amp;B487)&gt;0,COUNTIFS($A$4:$A$503,A487,$C$4:$C$503,"&lt;&gt;"&amp;C487)&gt;0,COUNTIFS($A$4:$A$503,A487,$D$4:$D$503,"&lt;&gt;"&amp;D487)&gt;0,COUNTIFS($A$4:$A$503,A487,$I$4:$I$503,"&lt;&gt;"&amp;I487)&gt;0,COUNTIFS($A$4:$A$503,A487,$J$4:$J$503,"&lt;&gt;"&amp;J487)&gt;0,COUNTIFS($A$4:$A$503,A487,$K$4:$K$503,"&lt;&gt;"&amp;K487)&gt;0,COUNTIFS($A$4:$A$503,A487,$L$4:$L$503,"&lt;&gt;"&amp;L487)&gt;0),"跨校题目配置不一致","通过")))))))</x:f>
      </x:c>
    </x:row>
    <x:row r="488" ht="22" customHeight="1">
      <x:c r="A488" s="70"/>
      <x:c r="B488" s="70"/>
      <x:c r="C488" s="28"/>
      <x:c r="D488" s="28"/>
      <x:c r="E488" s="70"/>
      <x:c r="F488" s="71" t="str">
        <x:f>IFERROR(INDEX('学校信息'!$F$4:$F$53,MATCH(E488,'学校信息'!$A$4:$A$53,0)),"")</x:f>
      </x:c>
      <x:c r="G488" s="71" t="str">
        <x:f>IFERROR(INDEX('学校信息'!$G$4:$G$53,MATCH(E488,'学校信息'!$A$4:$A$53,0)),"")</x:f>
      </x:c>
      <x:c r="H488" s="70"/>
      <x:c r="I488" s="70"/>
      <x:c r="J488" s="70"/>
      <x:c r="K488" s="28"/>
      <x:c r="L488" s="28"/>
      <x:c r="M488" s="60" t="str">
        <x:f>IF(COUNTA(A488:E488)+COUNTA(H488:L488)=0,"",IF(OR(A488="",B488="",C488="",D488="",E488="",H488="",I488="",J488="",K488="",L488=""),"缺少必填项",IF(OR(LEN(I488)&lt;&gt;64,LEN(J488)&lt;&gt;64),"SHA740长度应为64",IF(COUNTIF('学校信息'!$A$4:$A$53,E488)=0,"学校ID不存在",IF(COUNTIFS($E$4:$E$503,E488,$A$4:$A$503,A488)&gt;1,"同校全局题目ID重复",IF(COUNTIFS($E$4:$E$503,E488,$H$4:$H$503,H488)&gt;1,"同校本地PID重复",IF(OR(COUNTIFS($A$4:$A$503,A488,$B$4:$B$503,"&lt;&gt;"&amp;B488)&gt;0,COUNTIFS($A$4:$A$503,A488,$C$4:$C$503,"&lt;&gt;"&amp;C488)&gt;0,COUNTIFS($A$4:$A$503,A488,$D$4:$D$503,"&lt;&gt;"&amp;D488)&gt;0,COUNTIFS($A$4:$A$503,A488,$I$4:$I$503,"&lt;&gt;"&amp;I488)&gt;0,COUNTIFS($A$4:$A$503,A488,$J$4:$J$503,"&lt;&gt;"&amp;J488)&gt;0,COUNTIFS($A$4:$A$503,A488,$K$4:$K$503,"&lt;&gt;"&amp;K488)&gt;0,COUNTIFS($A$4:$A$503,A488,$L$4:$L$503,"&lt;&gt;"&amp;L488)&gt;0),"跨校题目配置不一致","通过")))))))</x:f>
      </x:c>
    </x:row>
    <x:row r="489" ht="22" customHeight="1">
      <x:c r="A489" s="70"/>
      <x:c r="B489" s="70"/>
      <x:c r="C489" s="28"/>
      <x:c r="D489" s="28"/>
      <x:c r="E489" s="70"/>
      <x:c r="F489" s="71" t="str">
        <x:f>IFERROR(INDEX('学校信息'!$F$4:$F$53,MATCH(E489,'学校信息'!$A$4:$A$53,0)),"")</x:f>
      </x:c>
      <x:c r="G489" s="71" t="str">
        <x:f>IFERROR(INDEX('学校信息'!$G$4:$G$53,MATCH(E489,'学校信息'!$A$4:$A$53,0)),"")</x:f>
      </x:c>
      <x:c r="H489" s="70"/>
      <x:c r="I489" s="70"/>
      <x:c r="J489" s="70"/>
      <x:c r="K489" s="28"/>
      <x:c r="L489" s="28"/>
      <x:c r="M489" s="60" t="str">
        <x:f>IF(COUNTA(A489:E489)+COUNTA(H489:L489)=0,"",IF(OR(A489="",B489="",C489="",D489="",E489="",H489="",I489="",J489="",K489="",L489=""),"缺少必填项",IF(OR(LEN(I489)&lt;&gt;64,LEN(J489)&lt;&gt;64),"SHA741长度应为64",IF(COUNTIF('学校信息'!$A$4:$A$53,E489)=0,"学校ID不存在",IF(COUNTIFS($E$4:$E$503,E489,$A$4:$A$503,A489)&gt;1,"同校全局题目ID重复",IF(COUNTIFS($E$4:$E$503,E489,$H$4:$H$503,H489)&gt;1,"同校本地PID重复",IF(OR(COUNTIFS($A$4:$A$503,A489,$B$4:$B$503,"&lt;&gt;"&amp;B489)&gt;0,COUNTIFS($A$4:$A$503,A489,$C$4:$C$503,"&lt;&gt;"&amp;C489)&gt;0,COUNTIFS($A$4:$A$503,A489,$D$4:$D$503,"&lt;&gt;"&amp;D489)&gt;0,COUNTIFS($A$4:$A$503,A489,$I$4:$I$503,"&lt;&gt;"&amp;I489)&gt;0,COUNTIFS($A$4:$A$503,A489,$J$4:$J$503,"&lt;&gt;"&amp;J489)&gt;0,COUNTIFS($A$4:$A$503,A489,$K$4:$K$503,"&lt;&gt;"&amp;K489)&gt;0,COUNTIFS($A$4:$A$503,A489,$L$4:$L$503,"&lt;&gt;"&amp;L489)&gt;0),"跨校题目配置不一致","通过")))))))</x:f>
      </x:c>
    </x:row>
    <x:row r="490" ht="22" customHeight="1">
      <x:c r="A490" s="70"/>
      <x:c r="B490" s="70"/>
      <x:c r="C490" s="28"/>
      <x:c r="D490" s="28"/>
      <x:c r="E490" s="70"/>
      <x:c r="F490" s="71" t="str">
        <x:f>IFERROR(INDEX('学校信息'!$F$4:$F$53,MATCH(E490,'学校信息'!$A$4:$A$53,0)),"")</x:f>
      </x:c>
      <x:c r="G490" s="71" t="str">
        <x:f>IFERROR(INDEX('学校信息'!$G$4:$G$53,MATCH(E490,'学校信息'!$A$4:$A$53,0)),"")</x:f>
      </x:c>
      <x:c r="H490" s="70"/>
      <x:c r="I490" s="70"/>
      <x:c r="J490" s="70"/>
      <x:c r="K490" s="28"/>
      <x:c r="L490" s="28"/>
      <x:c r="M490" s="60" t="str">
        <x:f>IF(COUNTA(A490:E490)+COUNTA(H490:L490)=0,"",IF(OR(A490="",B490="",C490="",D490="",E490="",H490="",I490="",J490="",K490="",L490=""),"缺少必填项",IF(OR(LEN(I490)&lt;&gt;64,LEN(J490)&lt;&gt;64),"SHA742长度应为64",IF(COUNTIF('学校信息'!$A$4:$A$53,E490)=0,"学校ID不存在",IF(COUNTIFS($E$4:$E$503,E490,$A$4:$A$503,A490)&gt;1,"同校全局题目ID重复",IF(COUNTIFS($E$4:$E$503,E490,$H$4:$H$503,H490)&gt;1,"同校本地PID重复",IF(OR(COUNTIFS($A$4:$A$503,A490,$B$4:$B$503,"&lt;&gt;"&amp;B490)&gt;0,COUNTIFS($A$4:$A$503,A490,$C$4:$C$503,"&lt;&gt;"&amp;C490)&gt;0,COUNTIFS($A$4:$A$503,A490,$D$4:$D$503,"&lt;&gt;"&amp;D490)&gt;0,COUNTIFS($A$4:$A$503,A490,$I$4:$I$503,"&lt;&gt;"&amp;I490)&gt;0,COUNTIFS($A$4:$A$503,A490,$J$4:$J$503,"&lt;&gt;"&amp;J490)&gt;0,COUNTIFS($A$4:$A$503,A490,$K$4:$K$503,"&lt;&gt;"&amp;K490)&gt;0,COUNTIFS($A$4:$A$503,A490,$L$4:$L$503,"&lt;&gt;"&amp;L490)&gt;0),"跨校题目配置不一致","通过")))))))</x:f>
      </x:c>
    </x:row>
    <x:row r="491" ht="22" customHeight="1">
      <x:c r="A491" s="70"/>
      <x:c r="B491" s="70"/>
      <x:c r="C491" s="28"/>
      <x:c r="D491" s="28"/>
      <x:c r="E491" s="70"/>
      <x:c r="F491" s="71" t="str">
        <x:f>IFERROR(INDEX('学校信息'!$F$4:$F$53,MATCH(E491,'学校信息'!$A$4:$A$53,0)),"")</x:f>
      </x:c>
      <x:c r="G491" s="71" t="str">
        <x:f>IFERROR(INDEX('学校信息'!$G$4:$G$53,MATCH(E491,'学校信息'!$A$4:$A$53,0)),"")</x:f>
      </x:c>
      <x:c r="H491" s="70"/>
      <x:c r="I491" s="70"/>
      <x:c r="J491" s="70"/>
      <x:c r="K491" s="28"/>
      <x:c r="L491" s="28"/>
      <x:c r="M491" s="60" t="str">
        <x:f>IF(COUNTA(A491:E491)+COUNTA(H491:L491)=0,"",IF(OR(A491="",B491="",C491="",D491="",E491="",H491="",I491="",J491="",K491="",L491=""),"缺少必填项",IF(OR(LEN(I491)&lt;&gt;64,LEN(J491)&lt;&gt;64),"SHA743长度应为64",IF(COUNTIF('学校信息'!$A$4:$A$53,E491)=0,"学校ID不存在",IF(COUNTIFS($E$4:$E$503,E491,$A$4:$A$503,A491)&gt;1,"同校全局题目ID重复",IF(COUNTIFS($E$4:$E$503,E491,$H$4:$H$503,H491)&gt;1,"同校本地PID重复",IF(OR(COUNTIFS($A$4:$A$503,A491,$B$4:$B$503,"&lt;&gt;"&amp;B491)&gt;0,COUNTIFS($A$4:$A$503,A491,$C$4:$C$503,"&lt;&gt;"&amp;C491)&gt;0,COUNTIFS($A$4:$A$503,A491,$D$4:$D$503,"&lt;&gt;"&amp;D491)&gt;0,COUNTIFS($A$4:$A$503,A491,$I$4:$I$503,"&lt;&gt;"&amp;I491)&gt;0,COUNTIFS($A$4:$A$503,A491,$J$4:$J$503,"&lt;&gt;"&amp;J491)&gt;0,COUNTIFS($A$4:$A$503,A491,$K$4:$K$503,"&lt;&gt;"&amp;K491)&gt;0,COUNTIFS($A$4:$A$503,A491,$L$4:$L$503,"&lt;&gt;"&amp;L491)&gt;0),"跨校题目配置不一致","通过")))))))</x:f>
      </x:c>
    </x:row>
    <x:row r="492" ht="22" customHeight="1">
      <x:c r="A492" s="70"/>
      <x:c r="B492" s="70"/>
      <x:c r="C492" s="28"/>
      <x:c r="D492" s="28"/>
      <x:c r="E492" s="70"/>
      <x:c r="F492" s="71" t="str">
        <x:f>IFERROR(INDEX('学校信息'!$F$4:$F$53,MATCH(E492,'学校信息'!$A$4:$A$53,0)),"")</x:f>
      </x:c>
      <x:c r="G492" s="71" t="str">
        <x:f>IFERROR(INDEX('学校信息'!$G$4:$G$53,MATCH(E492,'学校信息'!$A$4:$A$53,0)),"")</x:f>
      </x:c>
      <x:c r="H492" s="70"/>
      <x:c r="I492" s="70"/>
      <x:c r="J492" s="70"/>
      <x:c r="K492" s="28"/>
      <x:c r="L492" s="28"/>
      <x:c r="M492" s="60" t="str">
        <x:f>IF(COUNTA(A492:E492)+COUNTA(H492:L492)=0,"",IF(OR(A492="",B492="",C492="",D492="",E492="",H492="",I492="",J492="",K492="",L492=""),"缺少必填项",IF(OR(LEN(I492)&lt;&gt;64,LEN(J492)&lt;&gt;64),"SHA744长度应为64",IF(COUNTIF('学校信息'!$A$4:$A$53,E492)=0,"学校ID不存在",IF(COUNTIFS($E$4:$E$503,E492,$A$4:$A$503,A492)&gt;1,"同校全局题目ID重复",IF(COUNTIFS($E$4:$E$503,E492,$H$4:$H$503,H492)&gt;1,"同校本地PID重复",IF(OR(COUNTIFS($A$4:$A$503,A492,$B$4:$B$503,"&lt;&gt;"&amp;B492)&gt;0,COUNTIFS($A$4:$A$503,A492,$C$4:$C$503,"&lt;&gt;"&amp;C492)&gt;0,COUNTIFS($A$4:$A$503,A492,$D$4:$D$503,"&lt;&gt;"&amp;D492)&gt;0,COUNTIFS($A$4:$A$503,A492,$I$4:$I$503,"&lt;&gt;"&amp;I492)&gt;0,COUNTIFS($A$4:$A$503,A492,$J$4:$J$503,"&lt;&gt;"&amp;J492)&gt;0,COUNTIFS($A$4:$A$503,A492,$K$4:$K$503,"&lt;&gt;"&amp;K492)&gt;0,COUNTIFS($A$4:$A$503,A492,$L$4:$L$503,"&lt;&gt;"&amp;L492)&gt;0),"跨校题目配置不一致","通过")))))))</x:f>
      </x:c>
    </x:row>
    <x:row r="493" ht="22" customHeight="1">
      <x:c r="A493" s="70"/>
      <x:c r="B493" s="70"/>
      <x:c r="C493" s="28"/>
      <x:c r="D493" s="28"/>
      <x:c r="E493" s="70"/>
      <x:c r="F493" s="71" t="str">
        <x:f>IFERROR(INDEX('学校信息'!$F$4:$F$53,MATCH(E493,'学校信息'!$A$4:$A$53,0)),"")</x:f>
      </x:c>
      <x:c r="G493" s="71" t="str">
        <x:f>IFERROR(INDEX('学校信息'!$G$4:$G$53,MATCH(E493,'学校信息'!$A$4:$A$53,0)),"")</x:f>
      </x:c>
      <x:c r="H493" s="70"/>
      <x:c r="I493" s="70"/>
      <x:c r="J493" s="70"/>
      <x:c r="K493" s="28"/>
      <x:c r="L493" s="28"/>
      <x:c r="M493" s="60" t="str">
        <x:f>IF(COUNTA(A493:E493)+COUNTA(H493:L493)=0,"",IF(OR(A493="",B493="",C493="",D493="",E493="",H493="",I493="",J493="",K493="",L493=""),"缺少必填项",IF(OR(LEN(I493)&lt;&gt;64,LEN(J493)&lt;&gt;64),"SHA745长度应为64",IF(COUNTIF('学校信息'!$A$4:$A$53,E493)=0,"学校ID不存在",IF(COUNTIFS($E$4:$E$503,E493,$A$4:$A$503,A493)&gt;1,"同校全局题目ID重复",IF(COUNTIFS($E$4:$E$503,E493,$H$4:$H$503,H493)&gt;1,"同校本地PID重复",IF(OR(COUNTIFS($A$4:$A$503,A493,$B$4:$B$503,"&lt;&gt;"&amp;B493)&gt;0,COUNTIFS($A$4:$A$503,A493,$C$4:$C$503,"&lt;&gt;"&amp;C493)&gt;0,COUNTIFS($A$4:$A$503,A493,$D$4:$D$503,"&lt;&gt;"&amp;D493)&gt;0,COUNTIFS($A$4:$A$503,A493,$I$4:$I$503,"&lt;&gt;"&amp;I493)&gt;0,COUNTIFS($A$4:$A$503,A493,$J$4:$J$503,"&lt;&gt;"&amp;J493)&gt;0,COUNTIFS($A$4:$A$503,A493,$K$4:$K$503,"&lt;&gt;"&amp;K493)&gt;0,COUNTIFS($A$4:$A$503,A493,$L$4:$L$503,"&lt;&gt;"&amp;L493)&gt;0),"跨校题目配置不一致","通过")))))))</x:f>
      </x:c>
    </x:row>
    <x:row r="494" ht="22" customHeight="1">
      <x:c r="A494" s="70"/>
      <x:c r="B494" s="70"/>
      <x:c r="C494" s="28"/>
      <x:c r="D494" s="28"/>
      <x:c r="E494" s="70"/>
      <x:c r="F494" s="71" t="str">
        <x:f>IFERROR(INDEX('学校信息'!$F$4:$F$53,MATCH(E494,'学校信息'!$A$4:$A$53,0)),"")</x:f>
      </x:c>
      <x:c r="G494" s="71" t="str">
        <x:f>IFERROR(INDEX('学校信息'!$G$4:$G$53,MATCH(E494,'学校信息'!$A$4:$A$53,0)),"")</x:f>
      </x:c>
      <x:c r="H494" s="70"/>
      <x:c r="I494" s="70"/>
      <x:c r="J494" s="70"/>
      <x:c r="K494" s="28"/>
      <x:c r="L494" s="28"/>
      <x:c r="M494" s="60" t="str">
        <x:f>IF(COUNTA(A494:E494)+COUNTA(H494:L494)=0,"",IF(OR(A494="",B494="",C494="",D494="",E494="",H494="",I494="",J494="",K494="",L494=""),"缺少必填项",IF(OR(LEN(I494)&lt;&gt;64,LEN(J494)&lt;&gt;64),"SHA746长度应为64",IF(COUNTIF('学校信息'!$A$4:$A$53,E494)=0,"学校ID不存在",IF(COUNTIFS($E$4:$E$503,E494,$A$4:$A$503,A494)&gt;1,"同校全局题目ID重复",IF(COUNTIFS($E$4:$E$503,E494,$H$4:$H$503,H494)&gt;1,"同校本地PID重复",IF(OR(COUNTIFS($A$4:$A$503,A494,$B$4:$B$503,"&lt;&gt;"&amp;B494)&gt;0,COUNTIFS($A$4:$A$503,A494,$C$4:$C$503,"&lt;&gt;"&amp;C494)&gt;0,COUNTIFS($A$4:$A$503,A494,$D$4:$D$503,"&lt;&gt;"&amp;D494)&gt;0,COUNTIFS($A$4:$A$503,A494,$I$4:$I$503,"&lt;&gt;"&amp;I494)&gt;0,COUNTIFS($A$4:$A$503,A494,$J$4:$J$503,"&lt;&gt;"&amp;J494)&gt;0,COUNTIFS($A$4:$A$503,A494,$K$4:$K$503,"&lt;&gt;"&amp;K494)&gt;0,COUNTIFS($A$4:$A$503,A494,$L$4:$L$503,"&lt;&gt;"&amp;L494)&gt;0),"跨校题目配置不一致","通过")))))))</x:f>
      </x:c>
    </x:row>
    <x:row r="495" ht="22" customHeight="1">
      <x:c r="A495" s="70"/>
      <x:c r="B495" s="70"/>
      <x:c r="C495" s="28"/>
      <x:c r="D495" s="28"/>
      <x:c r="E495" s="70"/>
      <x:c r="F495" s="71" t="str">
        <x:f>IFERROR(INDEX('学校信息'!$F$4:$F$53,MATCH(E495,'学校信息'!$A$4:$A$53,0)),"")</x:f>
      </x:c>
      <x:c r="G495" s="71" t="str">
        <x:f>IFERROR(INDEX('学校信息'!$G$4:$G$53,MATCH(E495,'学校信息'!$A$4:$A$53,0)),"")</x:f>
      </x:c>
      <x:c r="H495" s="70"/>
      <x:c r="I495" s="70"/>
      <x:c r="J495" s="70"/>
      <x:c r="K495" s="28"/>
      <x:c r="L495" s="28"/>
      <x:c r="M495" s="60" t="str">
        <x:f>IF(COUNTA(A495:E495)+COUNTA(H495:L495)=0,"",IF(OR(A495="",B495="",C495="",D495="",E495="",H495="",I495="",J495="",K495="",L495=""),"缺少必填项",IF(OR(LEN(I495)&lt;&gt;64,LEN(J495)&lt;&gt;64),"SHA747长度应为64",IF(COUNTIF('学校信息'!$A$4:$A$53,E495)=0,"学校ID不存在",IF(COUNTIFS($E$4:$E$503,E495,$A$4:$A$503,A495)&gt;1,"同校全局题目ID重复",IF(COUNTIFS($E$4:$E$503,E495,$H$4:$H$503,H495)&gt;1,"同校本地PID重复",IF(OR(COUNTIFS($A$4:$A$503,A495,$B$4:$B$503,"&lt;&gt;"&amp;B495)&gt;0,COUNTIFS($A$4:$A$503,A495,$C$4:$C$503,"&lt;&gt;"&amp;C495)&gt;0,COUNTIFS($A$4:$A$503,A495,$D$4:$D$503,"&lt;&gt;"&amp;D495)&gt;0,COUNTIFS($A$4:$A$503,A495,$I$4:$I$503,"&lt;&gt;"&amp;I495)&gt;0,COUNTIFS($A$4:$A$503,A495,$J$4:$J$503,"&lt;&gt;"&amp;J495)&gt;0,COUNTIFS($A$4:$A$503,A495,$K$4:$K$503,"&lt;&gt;"&amp;K495)&gt;0,COUNTIFS($A$4:$A$503,A495,$L$4:$L$503,"&lt;&gt;"&amp;L495)&gt;0),"跨校题目配置不一致","通过")))))))</x:f>
      </x:c>
    </x:row>
    <x:row r="496" ht="22" customHeight="1">
      <x:c r="A496" s="70"/>
      <x:c r="B496" s="70"/>
      <x:c r="C496" s="28"/>
      <x:c r="D496" s="28"/>
      <x:c r="E496" s="70"/>
      <x:c r="F496" s="71" t="str">
        <x:f>IFERROR(INDEX('学校信息'!$F$4:$F$53,MATCH(E496,'学校信息'!$A$4:$A$53,0)),"")</x:f>
      </x:c>
      <x:c r="G496" s="71" t="str">
        <x:f>IFERROR(INDEX('学校信息'!$G$4:$G$53,MATCH(E496,'学校信息'!$A$4:$A$53,0)),"")</x:f>
      </x:c>
      <x:c r="H496" s="70"/>
      <x:c r="I496" s="70"/>
      <x:c r="J496" s="70"/>
      <x:c r="K496" s="28"/>
      <x:c r="L496" s="28"/>
      <x:c r="M496" s="60" t="str">
        <x:f>IF(COUNTA(A496:E496)+COUNTA(H496:L496)=0,"",IF(OR(A496="",B496="",C496="",D496="",E496="",H496="",I496="",J496="",K496="",L496=""),"缺少必填项",IF(OR(LEN(I496)&lt;&gt;64,LEN(J496)&lt;&gt;64),"SHA748长度应为64",IF(COUNTIF('学校信息'!$A$4:$A$53,E496)=0,"学校ID不存在",IF(COUNTIFS($E$4:$E$503,E496,$A$4:$A$503,A496)&gt;1,"同校全局题目ID重复",IF(COUNTIFS($E$4:$E$503,E496,$H$4:$H$503,H496)&gt;1,"同校本地PID重复",IF(OR(COUNTIFS($A$4:$A$503,A496,$B$4:$B$503,"&lt;&gt;"&amp;B496)&gt;0,COUNTIFS($A$4:$A$503,A496,$C$4:$C$503,"&lt;&gt;"&amp;C496)&gt;0,COUNTIFS($A$4:$A$503,A496,$D$4:$D$503,"&lt;&gt;"&amp;D496)&gt;0,COUNTIFS($A$4:$A$503,A496,$I$4:$I$503,"&lt;&gt;"&amp;I496)&gt;0,COUNTIFS($A$4:$A$503,A496,$J$4:$J$503,"&lt;&gt;"&amp;J496)&gt;0,COUNTIFS($A$4:$A$503,A496,$K$4:$K$503,"&lt;&gt;"&amp;K496)&gt;0,COUNTIFS($A$4:$A$503,A496,$L$4:$L$503,"&lt;&gt;"&amp;L496)&gt;0),"跨校题目配置不一致","通过")))))))</x:f>
      </x:c>
    </x:row>
    <x:row r="497" ht="22" customHeight="1">
      <x:c r="A497" s="70"/>
      <x:c r="B497" s="70"/>
      <x:c r="C497" s="28"/>
      <x:c r="D497" s="28"/>
      <x:c r="E497" s="70"/>
      <x:c r="F497" s="71" t="str">
        <x:f>IFERROR(INDEX('学校信息'!$F$4:$F$53,MATCH(E497,'学校信息'!$A$4:$A$53,0)),"")</x:f>
      </x:c>
      <x:c r="G497" s="71" t="str">
        <x:f>IFERROR(INDEX('学校信息'!$G$4:$G$53,MATCH(E497,'学校信息'!$A$4:$A$53,0)),"")</x:f>
      </x:c>
      <x:c r="H497" s="70"/>
      <x:c r="I497" s="70"/>
      <x:c r="J497" s="70"/>
      <x:c r="K497" s="28"/>
      <x:c r="L497" s="28"/>
      <x:c r="M497" s="60" t="str">
        <x:f>IF(COUNTA(A497:E497)+COUNTA(H497:L497)=0,"",IF(OR(A497="",B497="",C497="",D497="",E497="",H497="",I497="",J497="",K497="",L497=""),"缺少必填项",IF(OR(LEN(I497)&lt;&gt;64,LEN(J497)&lt;&gt;64),"SHA749长度应为64",IF(COUNTIF('学校信息'!$A$4:$A$53,E497)=0,"学校ID不存在",IF(COUNTIFS($E$4:$E$503,E497,$A$4:$A$503,A497)&gt;1,"同校全局题目ID重复",IF(COUNTIFS($E$4:$E$503,E497,$H$4:$H$503,H497)&gt;1,"同校本地PID重复",IF(OR(COUNTIFS($A$4:$A$503,A497,$B$4:$B$503,"&lt;&gt;"&amp;B497)&gt;0,COUNTIFS($A$4:$A$503,A497,$C$4:$C$503,"&lt;&gt;"&amp;C497)&gt;0,COUNTIFS($A$4:$A$503,A497,$D$4:$D$503,"&lt;&gt;"&amp;D497)&gt;0,COUNTIFS($A$4:$A$503,A497,$I$4:$I$503,"&lt;&gt;"&amp;I497)&gt;0,COUNTIFS($A$4:$A$503,A497,$J$4:$J$503,"&lt;&gt;"&amp;J497)&gt;0,COUNTIFS($A$4:$A$503,A497,$K$4:$K$503,"&lt;&gt;"&amp;K497)&gt;0,COUNTIFS($A$4:$A$503,A497,$L$4:$L$503,"&lt;&gt;"&amp;L497)&gt;0),"跨校题目配置不一致","通过")))))))</x:f>
      </x:c>
    </x:row>
    <x:row r="498" ht="22" customHeight="1">
      <x:c r="A498" s="70"/>
      <x:c r="B498" s="70"/>
      <x:c r="C498" s="28"/>
      <x:c r="D498" s="28"/>
      <x:c r="E498" s="70"/>
      <x:c r="F498" s="71" t="str">
        <x:f>IFERROR(INDEX('学校信息'!$F$4:$F$53,MATCH(E498,'学校信息'!$A$4:$A$53,0)),"")</x:f>
      </x:c>
      <x:c r="G498" s="71" t="str">
        <x:f>IFERROR(INDEX('学校信息'!$G$4:$G$53,MATCH(E498,'学校信息'!$A$4:$A$53,0)),"")</x:f>
      </x:c>
      <x:c r="H498" s="70"/>
      <x:c r="I498" s="70"/>
      <x:c r="J498" s="70"/>
      <x:c r="K498" s="28"/>
      <x:c r="L498" s="28"/>
      <x:c r="M498" s="60" t="str">
        <x:f>IF(COUNTA(A498:E498)+COUNTA(H498:L498)=0,"",IF(OR(A498="",B498="",C498="",D498="",E498="",H498="",I498="",J498="",K498="",L498=""),"缺少必填项",IF(OR(LEN(I498)&lt;&gt;64,LEN(J498)&lt;&gt;64),"SHA750长度应为64",IF(COUNTIF('学校信息'!$A$4:$A$53,E498)=0,"学校ID不存在",IF(COUNTIFS($E$4:$E$503,E498,$A$4:$A$503,A498)&gt;1,"同校全局题目ID重复",IF(COUNTIFS($E$4:$E$503,E498,$H$4:$H$503,H498)&gt;1,"同校本地PID重复",IF(OR(COUNTIFS($A$4:$A$503,A498,$B$4:$B$503,"&lt;&gt;"&amp;B498)&gt;0,COUNTIFS($A$4:$A$503,A498,$C$4:$C$503,"&lt;&gt;"&amp;C498)&gt;0,COUNTIFS($A$4:$A$503,A498,$D$4:$D$503,"&lt;&gt;"&amp;D498)&gt;0,COUNTIFS($A$4:$A$503,A498,$I$4:$I$503,"&lt;&gt;"&amp;I498)&gt;0,COUNTIFS($A$4:$A$503,A498,$J$4:$J$503,"&lt;&gt;"&amp;J498)&gt;0,COUNTIFS($A$4:$A$503,A498,$K$4:$K$503,"&lt;&gt;"&amp;K498)&gt;0,COUNTIFS($A$4:$A$503,A498,$L$4:$L$503,"&lt;&gt;"&amp;L498)&gt;0),"跨校题目配置不一致","通过")))))))</x:f>
      </x:c>
    </x:row>
    <x:row r="499" ht="22" customHeight="1">
      <x:c r="A499" s="70"/>
      <x:c r="B499" s="70"/>
      <x:c r="C499" s="28"/>
      <x:c r="D499" s="28"/>
      <x:c r="E499" s="70"/>
      <x:c r="F499" s="71" t="str">
        <x:f>IFERROR(INDEX('学校信息'!$F$4:$F$53,MATCH(E499,'学校信息'!$A$4:$A$53,0)),"")</x:f>
      </x:c>
      <x:c r="G499" s="71" t="str">
        <x:f>IFERROR(INDEX('学校信息'!$G$4:$G$53,MATCH(E499,'学校信息'!$A$4:$A$53,0)),"")</x:f>
      </x:c>
      <x:c r="H499" s="70"/>
      <x:c r="I499" s="70"/>
      <x:c r="J499" s="70"/>
      <x:c r="K499" s="28"/>
      <x:c r="L499" s="28"/>
      <x:c r="M499" s="60" t="str">
        <x:f>IF(COUNTA(A499:E499)+COUNTA(H499:L499)=0,"",IF(OR(A499="",B499="",C499="",D499="",E499="",H499="",I499="",J499="",K499="",L499=""),"缺少必填项",IF(OR(LEN(I499)&lt;&gt;64,LEN(J499)&lt;&gt;64),"SHA751长度应为64",IF(COUNTIF('学校信息'!$A$4:$A$53,E499)=0,"学校ID不存在",IF(COUNTIFS($E$4:$E$503,E499,$A$4:$A$503,A499)&gt;1,"同校全局题目ID重复",IF(COUNTIFS($E$4:$E$503,E499,$H$4:$H$503,H499)&gt;1,"同校本地PID重复",IF(OR(COUNTIFS($A$4:$A$503,A499,$B$4:$B$503,"&lt;&gt;"&amp;B499)&gt;0,COUNTIFS($A$4:$A$503,A499,$C$4:$C$503,"&lt;&gt;"&amp;C499)&gt;0,COUNTIFS($A$4:$A$503,A499,$D$4:$D$503,"&lt;&gt;"&amp;D499)&gt;0,COUNTIFS($A$4:$A$503,A499,$I$4:$I$503,"&lt;&gt;"&amp;I499)&gt;0,COUNTIFS($A$4:$A$503,A499,$J$4:$J$503,"&lt;&gt;"&amp;J499)&gt;0,COUNTIFS($A$4:$A$503,A499,$K$4:$K$503,"&lt;&gt;"&amp;K499)&gt;0,COUNTIFS($A$4:$A$503,A499,$L$4:$L$503,"&lt;&gt;"&amp;L499)&gt;0),"跨校题目配置不一致","通过")))))))</x:f>
      </x:c>
    </x:row>
    <x:row r="500" ht="22" customHeight="1">
      <x:c r="A500" s="70"/>
      <x:c r="B500" s="70"/>
      <x:c r="C500" s="28"/>
      <x:c r="D500" s="28"/>
      <x:c r="E500" s="70"/>
      <x:c r="F500" s="71" t="str">
        <x:f>IFERROR(INDEX('学校信息'!$F$4:$F$53,MATCH(E500,'学校信息'!$A$4:$A$53,0)),"")</x:f>
      </x:c>
      <x:c r="G500" s="71" t="str">
        <x:f>IFERROR(INDEX('学校信息'!$G$4:$G$53,MATCH(E500,'学校信息'!$A$4:$A$53,0)),"")</x:f>
      </x:c>
      <x:c r="H500" s="70"/>
      <x:c r="I500" s="70"/>
      <x:c r="J500" s="70"/>
      <x:c r="K500" s="28"/>
      <x:c r="L500" s="28"/>
      <x:c r="M500" s="60" t="str">
        <x:f>IF(COUNTA(A500:E500)+COUNTA(H500:L500)=0,"",IF(OR(A500="",B500="",C500="",D500="",E500="",H500="",I500="",J500="",K500="",L500=""),"缺少必填项",IF(OR(LEN(I500)&lt;&gt;64,LEN(J500)&lt;&gt;64),"SHA752长度应为64",IF(COUNTIF('学校信息'!$A$4:$A$53,E500)=0,"学校ID不存在",IF(COUNTIFS($E$4:$E$503,E500,$A$4:$A$503,A500)&gt;1,"同校全局题目ID重复",IF(COUNTIFS($E$4:$E$503,E500,$H$4:$H$503,H500)&gt;1,"同校本地PID重复",IF(OR(COUNTIFS($A$4:$A$503,A500,$B$4:$B$503,"&lt;&gt;"&amp;B500)&gt;0,COUNTIFS($A$4:$A$503,A500,$C$4:$C$503,"&lt;&gt;"&amp;C500)&gt;0,COUNTIFS($A$4:$A$503,A500,$D$4:$D$503,"&lt;&gt;"&amp;D500)&gt;0,COUNTIFS($A$4:$A$503,A500,$I$4:$I$503,"&lt;&gt;"&amp;I500)&gt;0,COUNTIFS($A$4:$A$503,A500,$J$4:$J$503,"&lt;&gt;"&amp;J500)&gt;0,COUNTIFS($A$4:$A$503,A500,$K$4:$K$503,"&lt;&gt;"&amp;K500)&gt;0,COUNTIFS($A$4:$A$503,A500,$L$4:$L$503,"&lt;&gt;"&amp;L500)&gt;0),"跨校题目配置不一致","通过")))))))</x:f>
      </x:c>
    </x:row>
    <x:row r="501" ht="22" customHeight="1">
      <x:c r="A501" s="70"/>
      <x:c r="B501" s="70"/>
      <x:c r="C501" s="28"/>
      <x:c r="D501" s="28"/>
      <x:c r="E501" s="70"/>
      <x:c r="F501" s="71" t="str">
        <x:f>IFERROR(INDEX('学校信息'!$F$4:$F$53,MATCH(E501,'学校信息'!$A$4:$A$53,0)),"")</x:f>
      </x:c>
      <x:c r="G501" s="71" t="str">
        <x:f>IFERROR(INDEX('学校信息'!$G$4:$G$53,MATCH(E501,'学校信息'!$A$4:$A$53,0)),"")</x:f>
      </x:c>
      <x:c r="H501" s="70"/>
      <x:c r="I501" s="70"/>
      <x:c r="J501" s="70"/>
      <x:c r="K501" s="28"/>
      <x:c r="L501" s="28"/>
      <x:c r="M501" s="60" t="str">
        <x:f>IF(COUNTA(A501:E501)+COUNTA(H501:L501)=0,"",IF(OR(A501="",B501="",C501="",D501="",E501="",H501="",I501="",J501="",K501="",L501=""),"缺少必填项",IF(OR(LEN(I501)&lt;&gt;64,LEN(J501)&lt;&gt;64),"SHA753长度应为64",IF(COUNTIF('学校信息'!$A$4:$A$53,E501)=0,"学校ID不存在",IF(COUNTIFS($E$4:$E$503,E501,$A$4:$A$503,A501)&gt;1,"同校全局题目ID重复",IF(COUNTIFS($E$4:$E$503,E501,$H$4:$H$503,H501)&gt;1,"同校本地PID重复",IF(OR(COUNTIFS($A$4:$A$503,A501,$B$4:$B$503,"&lt;&gt;"&amp;B501)&gt;0,COUNTIFS($A$4:$A$503,A501,$C$4:$C$503,"&lt;&gt;"&amp;C501)&gt;0,COUNTIFS($A$4:$A$503,A501,$D$4:$D$503,"&lt;&gt;"&amp;D501)&gt;0,COUNTIFS($A$4:$A$503,A501,$I$4:$I$503,"&lt;&gt;"&amp;I501)&gt;0,COUNTIFS($A$4:$A$503,A501,$J$4:$J$503,"&lt;&gt;"&amp;J501)&gt;0,COUNTIFS($A$4:$A$503,A501,$K$4:$K$503,"&lt;&gt;"&amp;K501)&gt;0,COUNTIFS($A$4:$A$503,A501,$L$4:$L$503,"&lt;&gt;"&amp;L501)&gt;0),"跨校题目配置不一致","通过")))))))</x:f>
      </x:c>
    </x:row>
    <x:row r="502" ht="22" customHeight="1">
      <x:c r="A502" s="70"/>
      <x:c r="B502" s="70"/>
      <x:c r="C502" s="28"/>
      <x:c r="D502" s="28"/>
      <x:c r="E502" s="70"/>
      <x:c r="F502" s="71" t="str">
        <x:f>IFERROR(INDEX('学校信息'!$F$4:$F$53,MATCH(E502,'学校信息'!$A$4:$A$53,0)),"")</x:f>
      </x:c>
      <x:c r="G502" s="71" t="str">
        <x:f>IFERROR(INDEX('学校信息'!$G$4:$G$53,MATCH(E502,'学校信息'!$A$4:$A$53,0)),"")</x:f>
      </x:c>
      <x:c r="H502" s="70"/>
      <x:c r="I502" s="70"/>
      <x:c r="J502" s="70"/>
      <x:c r="K502" s="28"/>
      <x:c r="L502" s="28"/>
      <x:c r="M502" s="60" t="str">
        <x:f>IF(COUNTA(A502:E502)+COUNTA(H502:L502)=0,"",IF(OR(A502="",B502="",C502="",D502="",E502="",H502="",I502="",J502="",K502="",L502=""),"缺少必填项",IF(OR(LEN(I502)&lt;&gt;64,LEN(J502)&lt;&gt;64),"SHA754长度应为64",IF(COUNTIF('学校信息'!$A$4:$A$53,E502)=0,"学校ID不存在",IF(COUNTIFS($E$4:$E$503,E502,$A$4:$A$503,A502)&gt;1,"同校全局题目ID重复",IF(COUNTIFS($E$4:$E$503,E502,$H$4:$H$503,H502)&gt;1,"同校本地PID重复",IF(OR(COUNTIFS($A$4:$A$503,A502,$B$4:$B$503,"&lt;&gt;"&amp;B502)&gt;0,COUNTIFS($A$4:$A$503,A502,$C$4:$C$503,"&lt;&gt;"&amp;C502)&gt;0,COUNTIFS($A$4:$A$503,A502,$D$4:$D$503,"&lt;&gt;"&amp;D502)&gt;0,COUNTIFS($A$4:$A$503,A502,$I$4:$I$503,"&lt;&gt;"&amp;I502)&gt;0,COUNTIFS($A$4:$A$503,A502,$J$4:$J$503,"&lt;&gt;"&amp;J502)&gt;0,COUNTIFS($A$4:$A$503,A502,$K$4:$K$503,"&lt;&gt;"&amp;K502)&gt;0,COUNTIFS($A$4:$A$503,A502,$L$4:$L$503,"&lt;&gt;"&amp;L502)&gt;0),"跨校题目配置不一致","通过")))))))</x:f>
      </x:c>
    </x:row>
    <x:row r="503" ht="22" customHeight="1">
      <x:c r="A503" s="72"/>
      <x:c r="B503" s="72"/>
      <x:c r="C503" s="29"/>
      <x:c r="D503" s="29"/>
      <x:c r="E503" s="72"/>
      <x:c r="F503" s="73" t="str">
        <x:f>IFERROR(INDEX('学校信息'!$F$4:$F$53,MATCH(E503,'学校信息'!$A$4:$A$53,0)),"")</x:f>
      </x:c>
      <x:c r="G503" s="73" t="str">
        <x:f>IFERROR(INDEX('学校信息'!$G$4:$G$53,MATCH(E503,'学校信息'!$A$4:$A$53,0)),"")</x:f>
      </x:c>
      <x:c r="H503" s="72"/>
      <x:c r="I503" s="72"/>
      <x:c r="J503" s="72"/>
      <x:c r="K503" s="29"/>
      <x:c r="L503" s="29"/>
      <x:c r="M503" s="61" t="str">
        <x:f>IF(COUNTA(A503:E503)+COUNTA(H503:L503)=0,"",IF(OR(A503="",B503="",C503="",D503="",E503="",H503="",I503="",J503="",K503="",L503=""),"缺少必填项",IF(OR(LEN(I503)&lt;&gt;64,LEN(J503)&lt;&gt;64),"SHA755长度应为64",IF(COUNTIF('学校信息'!$A$4:$A$53,E503)=0,"学校ID不存在",IF(COUNTIFS($E$4:$E$503,E503,$A$4:$A$503,A503)&gt;1,"同校全局题目ID重复",IF(COUNTIFS($E$4:$E$503,E503,$H$4:$H$503,H503)&gt;1,"同校本地PID重复",IF(OR(COUNTIFS($A$4:$A$503,A503,$B$4:$B$503,"&lt;&gt;"&amp;B503)&gt;0,COUNTIFS($A$4:$A$503,A503,$C$4:$C$503,"&lt;&gt;"&amp;C503)&gt;0,COUNTIFS($A$4:$A$503,A503,$D$4:$D$503,"&lt;&gt;"&amp;D503)&gt;0,COUNTIFS($A$4:$A$503,A503,$I$4:$I$503,"&lt;&gt;"&amp;I503)&gt;0,COUNTIFS($A$4:$A$503,A503,$J$4:$J$503,"&lt;&gt;"&amp;J503)&gt;0,COUNTIFS($A$4:$A$503,A503,$K$4:$K$503,"&lt;&gt;"&amp;K503)&gt;0,COUNTIFS($A$4:$A$503,A503,$L$4:$L$503,"&lt;&gt;"&amp;L503)&gt;0),"跨校题目配置不一致","通过")))))))</x:f>
      </x:c>
    </x:row>
  </x:sheetData>
  <x:mergeCells>
    <x:mergeCell ref="A1:M1"/>
    <x:mergeCell ref="A2:M2"/>
  </x:mergeCells>
  <x:conditionalFormatting sqref="M4:M503">
    <x:cfRule type="expression" dxfId="7" priority="1">
      <x:formula>$M4="通过"</x:formula>
    </x:cfRule>
    <x:cfRule type="expression" dxfId="8" priority="2">
      <x:formula>AND($M4&lt;&gt;"",$M4&lt;&gt;"通过")</x:formula>
    </x:cfRule>
  </x:conditionalFormatting>
  <x:dataValidations count="3">
    <x:dataValidation type="whole" operator="between" sqref="C4:C503">
      <x:formula1>1</x:formula1>
      <x:formula2>100</x:formula2>
    </x:dataValidation>
    <x:dataValidation type="whole" operator="between" sqref="K4:K503">
      <x:formula1>1</x:formula1>
      <x:formula2>3600000</x:formula2>
    </x:dataValidation>
    <x:dataValidation type="whole" operator="between" sqref="L4:L503">
      <x:formula1>1</x:formula1>
      <x:formula2>1048576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832b1738ec147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4" customHeight="1">
      <x:c r="A1" s="4" t="str">
        <x:v>提交前校验汇总</x:v>
      </x:c>
      <x:c r="B1" s="4" t="str">
        <x:v>提交前校验汇总</x:v>
      </x:c>
      <x:c r="C1" s="4" t="str">
        <x:v>提交前校验汇总</x:v>
      </x:c>
      <x:c r="D1" s="4" t="str">
        <x:v>提交前校验汇总</x:v>
      </x:c>
    </x:row>
    <x:row r="2" ht="34" customHeight="1">
      <x:c r="A2" s="8" t="str">
        <x:v>只统计已填写ID的行。错误数为0并不替代人工复核，请同时确认比赛时间、题目哈希和账号归属。</x:v>
      </x:c>
      <x:c r="B2" s="8" t="str">
        <x:v>只统计已填写ID的行。错误数为0并不替代人工复核，请同时确认比赛时间、题目哈希和账号归属。</x:v>
      </x:c>
      <x:c r="C2" s="8" t="str">
        <x:v>只统计已填写ID的行。错误数为0并不替代人工复核，请同时确认比赛时间、题目哈希和账号归属。</x:v>
      </x:c>
      <x:c r="D2" s="8" t="str">
        <x:v>只统计已填写ID的行。错误数为0并不替代人工复核，请同时确认比赛时间、题目哈希和账号归属。</x:v>
      </x:c>
    </x:row>
    <x:row r="4" ht="36" customHeight="1">
      <x:c r="A4" s="20" t="str">
        <x:v>检查对象</x:v>
      </x:c>
      <x:c r="B4" s="21" t="str">
        <x:v>已填数量</x:v>
      </x:c>
      <x:c r="C4" s="21" t="str">
        <x:v>错误数量</x:v>
      </x:c>
      <x:c r="D4" s="22" t="str">
        <x:v>状态</x:v>
      </x:c>
    </x:row>
    <x:row r="5" ht="22" customHeight="1">
      <x:c r="A5" s="35" t="str">
        <x:v>联赛配置</x:v>
      </x:c>
      <x:c r="B5" s="27" t="n">
        <x:f>IF(COUNTA('联赛配置'!$A$4:$M$4)=0,0,1)</x:f>
        <x:v>1</x:v>
      </x:c>
      <x:c r="C5" s="27" t="n">
        <x:f>IF(OR('联赛配置'!$A$4="",'联赛配置'!$B$4="",'联赛配置'!$C$4="",'联赛配置'!$D$4="",'联赛配置'!$E$4="",'联赛配置'!$F$4="",'联赛配置'!$G$4="",'联赛配置'!$H$4="",'联赛配置'!$I$4="",'联赛配置'!$J$4="",'联赛配置'!$K$4="",'联赛配置'!$L$4="",'联赛配置'!$M$4=""),1,0)</x:f>
        <x:v>1</x:v>
      </x:c>
      <x:c r="D5" s="36" t="str">
        <x:f>IF(B5=0,"待填写",IF(C5=0,"通过","需修正"))</x:f>
        <x:v>需修正</x:v>
      </x:c>
    </x:row>
    <x:row r="6" ht="22" customHeight="1">
      <x:c r="A6" s="37" t="str">
        <x:v>学校</x:v>
      </x:c>
      <x:c r="B6" s="28" t="n">
        <x:f>COUNTA('学校信息'!$A$4:$A$53)</x:f>
        <x:v>0</x:v>
      </x:c>
      <x:c r="C6" s="28" t="n">
        <x:f>COUNTIFS('学校信息'!$A$4:$A$53,"&lt;&gt;",'学校信息'!$O$4:$O$53,"&lt;&gt;通过")</x:f>
        <x:v>0</x:v>
      </x:c>
      <x:c r="D6" s="38" t="str">
        <x:f>IF(B6=0,"待填写",IF(C6=0,"通过","需修正"))</x:f>
        <x:v>待填写</x:v>
      </x:c>
    </x:row>
    <x:row r="7" ht="22" customHeight="1">
      <x:c r="A7" s="37" t="str">
        <x:v>队伍</x:v>
      </x:c>
      <x:c r="B7" s="28" t="n">
        <x:f>COUNTA('队伍账号映射'!$A$4:$A$203)</x:f>
        <x:v>0</x:v>
      </x:c>
      <x:c r="C7" s="28" t="n">
        <x:f>COUNTIFS('队伍账号映射'!$A$4:$A$203,"&lt;&gt;",'队伍账号映射'!$T$4:$T$203,"&lt;&gt;通过")</x:f>
        <x:v>0</x:v>
      </x:c>
      <x:c r="D7" s="38" t="str">
        <x:f>IF(B7=0,"待填写",IF(C7=0,"通过","需修正"))</x:f>
        <x:v>待填写</x:v>
      </x:c>
    </x:row>
    <x:row r="8" ht="22" customHeight="1">
      <x:c r="A8" s="39" t="str">
        <x:v>题目映射</x:v>
      </x:c>
      <x:c r="B8" s="29" t="n">
        <x:f>COUNTA('题目映射'!$A$4:$A$503)</x:f>
        <x:v>0</x:v>
      </x:c>
      <x:c r="C8" s="29" t="n">
        <x:f>COUNTIFS('题目映射'!$A$4:$A$503,"&lt;&gt;",'题目映射'!$M$4:$M$503,"&lt;&gt;通过")</x:f>
        <x:v>0</x:v>
      </x:c>
      <x:c r="D8" s="40" t="str">
        <x:f>IF(B8=0,"待填写",IF(C8=0,"通过","需修正"))</x:f>
        <x:v>待填写</x:v>
      </x:c>
    </x:row>
    <x:row r="9">
      <x:c r="A9" s="41"/>
      <x:c r="B9" s="42"/>
      <x:c r="C9" s="42"/>
      <x:c r="D9" s="43"/>
    </x:row>
    <x:row r="10">
      <x:c r="A10" s="79" t="str">
        <x:v>总体状态</x:v>
      </x:c>
      <x:c r="B10" s="80" t="str"/>
      <x:c r="C10" s="80" t="str"/>
      <x:c r="D10" s="81" t="str">
        <x:f>IF(OR(B6=0,B7=0,B8=0),"待填写",IF(SUM(C5:C8)=0,"可提交","存在错误"))</x:f>
        <x:v>待填写</x:v>
      </x:c>
    </x:row>
  </x:sheetData>
  <x:mergeCells>
    <x:mergeCell ref="A1:D1"/>
    <x:mergeCell ref="A2:D2"/>
    <x:mergeCell ref="A10:C10"/>
  </x:mergeCells>
  <x:conditionalFormatting sqref="D5:D8">
    <x:cfRule type="expression" dxfId="9" priority="1">
      <x:formula>$D5="通过"</x:formula>
    </x:cfRule>
    <x:cfRule type="expression" dxfId="10" priority="2">
      <x:formula>$D5="需修正"</x:formula>
    </x:cfRule>
    <x:cfRule type="expression" dxfId="11" priority="3">
      <x:formula>$D5="待填写"</x:formula>
    </x:cfRule>
  </x:conditionalFormatting>
  <x:conditionalFormatting sqref="D10:D10">
    <x:cfRule type="expression" dxfId="12" priority="4">
      <x:formula>$D10="可提交"</x:formula>
    </x:cfRule>
    <x:cfRule type="expression" dxfId="13" priority="5">
      <x:formula>$D10="存在错误"</x:formula>
    </x:cfRule>
    <x:cfRule type="expression" dxfId="14" priority="6">
      <x:formula>$D10="待填写"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38" hidden="0" customWidth="1"/>
  </x:cols>
  <x:sheetData>
    <x:row r="1" ht="34" customHeight="1">
      <x:c r="A1" s="4" t="str">
        <x:v>选项字典与ID示例</x:v>
      </x:c>
      <x:c r="B1" s="4" t="str">
        <x:v>选项字典与ID示例</x:v>
      </x:c>
      <x:c r="C1" s="4" t="str">
        <x:v>选项字典与ID示例</x:v>
      </x:c>
      <x:c r="D1" s="4" t="str">
        <x:v>选项字典与ID示例</x:v>
      </x:c>
    </x:row>
    <x:row r="2" ht="34" customHeight="1">
      <x:c r="A2" s="8" t="str">
        <x:v>供填写人查阅。请勿修改既定枚举值；新增学校和队伍不需要在此表维护。</x:v>
      </x:c>
      <x:c r="B2" s="8" t="str">
        <x:v>供填写人查阅。请勿修改既定枚举值；新增学校和队伍不需要在此表维护。</x:v>
      </x:c>
      <x:c r="C2" s="8" t="str">
        <x:v>供填写人查阅。请勿修改既定枚举值；新增学校和队伍不需要在此表维护。</x:v>
      </x:c>
      <x:c r="D2" s="8" t="str">
        <x:v>供填写人查阅。请勿修改既定枚举值；新增学校和队伍不需要在此表维护。</x:v>
      </x:c>
    </x:row>
    <x:row r="4" ht="36" customHeight="1">
      <x:c r="A4" s="20" t="str">
        <x:v>字段</x:v>
      </x:c>
      <x:c r="B4" s="21" t="str">
        <x:v>允许值/格式</x:v>
      </x:c>
      <x:c r="C4" s="21" t="str">
        <x:v>示例</x:v>
      </x:c>
      <x:c r="D4" s="22" t="str">
        <x:v>说明</x:v>
      </x:c>
    </x:row>
    <x:row r="5" ht="22" customHeight="1">
      <x:c r="A5" s="35" t="str">
        <x:v>学校ID</x:v>
      </x:c>
      <x:c r="B5" s="27" t="str">
        <x:v>小写字母、数字、短横线</x:v>
      </x:c>
      <x:c r="C5" s="27" t="str">
        <x:v>school-a</x:v>
      </x:c>
      <x:c r="D5" s="36" t="str">
        <x:v>稳定的全局学校标识</x:v>
      </x:c>
    </x:row>
    <x:row r="6" ht="22" customHeight="1">
      <x:c r="A6" s="37" t="str">
        <x:v>站点ID</x:v>
      </x:c>
      <x:c r="B6" s="28" t="str">
        <x:v>小写字母、数字、短横线</x:v>
      </x:c>
      <x:c r="C6" s="28" t="str">
        <x:v>site-school-a</x:v>
      </x:c>
      <x:c r="D6" s="38" t="str">
        <x:v>同步凭证绑定标识</x:v>
      </x:c>
    </x:row>
    <x:row r="7" ht="22" customHeight="1">
      <x:c r="A7" s="37" t="str">
        <x:v>全局队伍ID</x:v>
      </x:c>
      <x:c r="B7" s="28" t="str">
        <x:v>小写字母、数字、短横线</x:v>
      </x:c>
      <x:c r="C7" s="28" t="str">
        <x:v>team-001</x:v>
      </x:c>
      <x:c r="D7" s="38" t="str">
        <x:v>整个联赛唯一</x:v>
      </x:c>
    </x:row>
    <x:row r="8" ht="22" customHeight="1">
      <x:c r="A8" s="37" t="str">
        <x:v>全局题目ID</x:v>
      </x:c>
      <x:c r="B8" s="28" t="str">
        <x:v>小写字母、数字、短横线</x:v>
      </x:c>
      <x:c r="C8" s="28" t="str">
        <x:v>problem-a</x:v>
      </x:c>
      <x:c r="D8" s="38" t="str">
        <x:v>跨学校统一</x:v>
      </x:c>
    </x:row>
    <x:row r="9" ht="22" customHeight="1">
      <x:c r="A9" s="37" t="str">
        <x:v>队伍类型</x:v>
      </x:c>
      <x:c r="B9" s="28" t="str">
        <x:v>正式 / 打星</x:v>
      </x:c>
      <x:c r="C9" s="28" t="str">
        <x:v>正式</x:v>
      </x:c>
      <x:c r="D9" s="38" t="str">
        <x:v>打星队伍不参与正式排名</x:v>
      </x:c>
    </x:row>
    <x:row r="10" ht="22" customHeight="1">
      <x:c r="A10" s="37" t="str">
        <x:v>启用状态</x:v>
      </x:c>
      <x:c r="B10" s="28" t="str">
        <x:v>启用 / 停用</x:v>
      </x:c>
      <x:c r="C10" s="28" t="str">
        <x:v>启用</x:v>
      </x:c>
      <x:c r="D10" s="38" t="str">
        <x:v>停用后不接受新事件</x:v>
      </x:c>
    </x:row>
    <x:row r="11" ht="22" customHeight="1">
      <x:c r="A11" s="37" t="str">
        <x:v>网络联调状态</x:v>
      </x:c>
      <x:c r="B11" s="28" t="str">
        <x:v>未联调 / 联调通过 / 联调异常</x:v>
      </x:c>
      <x:c r="C11" s="28" t="str">
        <x:v>未联调</x:v>
      </x:c>
      <x:c r="D11" s="38" t="str">
        <x:v>赛前必须达到联调通过</x:v>
      </x:c>
    </x:row>
    <x:row r="12" ht="22" customHeight="1">
      <x:c r="A12" s="37" t="str">
        <x:v>赛制</x:v>
      </x:c>
      <x:c r="B12" s="28" t="str">
        <x:v>ACM/ICPC</x:v>
      </x:c>
      <x:c r="C12" s="28" t="str">
        <x:v>ACM/ICPC</x:v>
      </x:c>
      <x:c r="D12" s="38" t="str">
        <x:v>CE不计罚时</x:v>
      </x:c>
    </x:row>
    <x:row r="13" ht="22" customHeight="1">
      <x:c r="A13" s="37" t="str">
        <x:v>时区</x:v>
      </x:c>
      <x:c r="B13" s="28" t="str">
        <x:v>IANA时区</x:v>
      </x:c>
      <x:c r="C13" s="28" t="str">
        <x:v>Asia/Shanghai</x:v>
      </x:c>
      <x:c r="D13" s="38" t="str">
        <x:v>各校保持一致</x:v>
      </x:c>
    </x:row>
    <x:row r="14" ht="22" customHeight="1">
      <x:c r="A14" s="39" t="str">
        <x:v>哈希</x:v>
      </x:c>
      <x:c r="B14" s="29" t="str">
        <x:v>64位十六进制SHA256</x:v>
      </x:c>
      <x:c r="C14" s="29" t="str">
        <x:v>由技术人员生成</x:v>
      </x:c>
      <x:c r="D14" s="40" t="str">
        <x:v>用于题目包和Checker一致性检查</x:v>
      </x:c>
    </x:row>
  </x:sheetData>
  <x:mergeCells>
    <x:mergeCell ref="A1:D1"/>
    <x:mergeCell ref="A2:D2"/>
  </x:mergeCells>
  <x:pageMargins left="0.7" right="0.7" top="0.75" bottom="0.75" header="0.3" footer="0.3"/>
</x:worksheet>
</file>